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prr1\Desktop\partage\cepegra\skills\2023\présélections\"/>
    </mc:Choice>
  </mc:AlternateContent>
  <bookViews>
    <workbookView xWindow="0" yWindow="0" windowWidth="28800" windowHeight="12450" activeTab="1"/>
  </bookViews>
  <sheets>
    <sheet name="Liège" sheetId="2" r:id="rId1"/>
    <sheet name="Cepegra" sheetId="5" r:id="rId2"/>
    <sheet name="Bruxelles" sheetId="6" r:id="rId3"/>
    <sheet name="Totaux" sheetId="4" r:id="rId4"/>
  </sheets>
  <calcPr calcId="162913"/>
</workbook>
</file>

<file path=xl/calcChain.xml><?xml version="1.0" encoding="utf-8"?>
<calcChain xmlns="http://schemas.openxmlformats.org/spreadsheetml/2006/main">
  <c r="J37" i="6" l="1"/>
  <c r="I48" i="6"/>
  <c r="I47" i="6"/>
  <c r="I46" i="6"/>
  <c r="I45" i="6"/>
  <c r="I44" i="6"/>
  <c r="I37" i="6"/>
  <c r="H37" i="6"/>
  <c r="G48" i="6"/>
  <c r="G47" i="6"/>
  <c r="G46" i="6"/>
  <c r="G45" i="6"/>
  <c r="G44" i="6"/>
  <c r="G37" i="6"/>
  <c r="F48" i="6"/>
  <c r="F47" i="6"/>
  <c r="F46" i="6"/>
  <c r="F45" i="6"/>
  <c r="F44" i="6"/>
  <c r="F37" i="6"/>
  <c r="E37" i="6"/>
  <c r="D37" i="6"/>
  <c r="C37" i="6"/>
  <c r="I48" i="5"/>
  <c r="I47" i="5"/>
  <c r="I46" i="5"/>
  <c r="I37" i="5"/>
  <c r="H48" i="5"/>
  <c r="H47" i="5"/>
  <c r="H46" i="5"/>
  <c r="H37" i="5"/>
  <c r="G48" i="5"/>
  <c r="G47" i="5"/>
  <c r="G46" i="5"/>
  <c r="G37" i="5"/>
  <c r="F48" i="5"/>
  <c r="F47" i="5"/>
  <c r="F46" i="5"/>
  <c r="F37" i="5"/>
  <c r="E37" i="5"/>
  <c r="D37" i="5"/>
  <c r="C37" i="5"/>
  <c r="J37" i="2"/>
  <c r="I37" i="2"/>
  <c r="H37" i="2"/>
  <c r="H48" i="2"/>
  <c r="H42" i="2"/>
  <c r="H38" i="2"/>
  <c r="G44" i="2"/>
  <c r="G48" i="2"/>
  <c r="G47" i="2"/>
  <c r="G46" i="2"/>
  <c r="G45" i="2"/>
  <c r="G43" i="2"/>
  <c r="G42" i="2"/>
  <c r="G41" i="2"/>
  <c r="G40" i="2"/>
  <c r="G39" i="2"/>
  <c r="G37" i="2"/>
  <c r="F37" i="2"/>
  <c r="F38" i="2"/>
  <c r="I38" i="2"/>
  <c r="G38" i="2"/>
  <c r="E38" i="2"/>
  <c r="E37" i="2"/>
  <c r="D37" i="2"/>
  <c r="C37" i="2"/>
  <c r="I43" i="6"/>
  <c r="G43" i="6"/>
  <c r="F43" i="6"/>
  <c r="E43" i="6"/>
  <c r="D43" i="6"/>
  <c r="C43" i="6"/>
  <c r="I42" i="6"/>
  <c r="H42" i="6"/>
  <c r="G42" i="6"/>
  <c r="F42" i="6"/>
  <c r="E42" i="6"/>
  <c r="D42" i="6"/>
  <c r="I41" i="6"/>
  <c r="H41" i="6"/>
  <c r="G41" i="6"/>
  <c r="F41" i="6"/>
  <c r="E41" i="6"/>
  <c r="D41" i="6"/>
  <c r="I40" i="6"/>
  <c r="H40" i="6"/>
  <c r="G40" i="6"/>
  <c r="F40" i="6"/>
  <c r="E40" i="6"/>
  <c r="D40" i="6"/>
  <c r="I39" i="6"/>
  <c r="H39" i="6"/>
  <c r="G39" i="6"/>
  <c r="F39" i="6"/>
  <c r="E39" i="6"/>
  <c r="D39" i="6"/>
  <c r="I38" i="6"/>
  <c r="H38" i="6"/>
  <c r="G38" i="6"/>
  <c r="F38" i="6"/>
  <c r="E38" i="6"/>
  <c r="I48" i="2"/>
  <c r="F48" i="2"/>
  <c r="E48" i="2"/>
  <c r="D48" i="2"/>
  <c r="C48" i="2"/>
  <c r="I47" i="2"/>
  <c r="H47" i="2"/>
  <c r="F47" i="2"/>
  <c r="E47" i="2"/>
  <c r="D47" i="2"/>
  <c r="C47" i="2"/>
  <c r="I46" i="2"/>
  <c r="H46" i="2"/>
  <c r="F46" i="2"/>
  <c r="E46" i="2"/>
  <c r="D46" i="2"/>
  <c r="C46" i="2"/>
  <c r="I45" i="2"/>
  <c r="H45" i="2"/>
  <c r="F45" i="2"/>
  <c r="E45" i="2"/>
  <c r="D45" i="2"/>
  <c r="C45" i="2"/>
  <c r="I44" i="2"/>
  <c r="H44" i="2"/>
  <c r="F44" i="2"/>
  <c r="E44" i="2"/>
  <c r="D44" i="2"/>
  <c r="C44" i="2"/>
  <c r="I43" i="2"/>
  <c r="H43" i="2"/>
  <c r="F43" i="2"/>
  <c r="E43" i="2"/>
  <c r="D43" i="2"/>
  <c r="C43" i="2"/>
  <c r="I42" i="2"/>
  <c r="F42" i="2"/>
  <c r="E42" i="2"/>
  <c r="D42" i="2"/>
  <c r="C42" i="2"/>
  <c r="I41" i="2"/>
  <c r="H41" i="2"/>
  <c r="F41" i="2"/>
  <c r="E41" i="2"/>
  <c r="D41" i="2"/>
  <c r="C41" i="2"/>
  <c r="I40" i="2"/>
  <c r="H40" i="2"/>
  <c r="F40" i="2"/>
  <c r="E40" i="2"/>
  <c r="D40" i="2"/>
  <c r="C40" i="2"/>
  <c r="I39" i="2"/>
  <c r="H39" i="2"/>
  <c r="F39" i="2"/>
  <c r="E39" i="2"/>
  <c r="D39" i="2"/>
  <c r="C39" i="2"/>
  <c r="D38" i="2"/>
  <c r="C38" i="2"/>
  <c r="I45" i="5"/>
  <c r="H45" i="5"/>
  <c r="G45" i="5"/>
  <c r="F45" i="5"/>
  <c r="E45" i="5"/>
  <c r="D45" i="5"/>
  <c r="C45" i="5"/>
  <c r="I44" i="5"/>
  <c r="H44" i="5"/>
  <c r="G44" i="5"/>
  <c r="F44" i="5"/>
  <c r="E44" i="5"/>
  <c r="D44" i="5"/>
  <c r="C44" i="5"/>
  <c r="I43" i="5"/>
  <c r="H43" i="5"/>
  <c r="G43" i="5"/>
  <c r="F43" i="5"/>
  <c r="E43" i="5"/>
  <c r="D43" i="5"/>
  <c r="C43" i="5"/>
  <c r="I41" i="5"/>
  <c r="H41" i="5"/>
  <c r="G41" i="5"/>
  <c r="F41" i="5"/>
  <c r="E41" i="5"/>
  <c r="D41" i="5"/>
  <c r="C41" i="5"/>
  <c r="I40" i="5"/>
  <c r="H40" i="5"/>
  <c r="G40" i="5"/>
  <c r="F40" i="5"/>
  <c r="E40" i="5"/>
  <c r="D40" i="5"/>
  <c r="C40" i="5"/>
  <c r="I39" i="5"/>
  <c r="H39" i="5"/>
  <c r="G39" i="5"/>
  <c r="F39" i="5"/>
  <c r="E39" i="5"/>
  <c r="D39" i="5"/>
  <c r="C39" i="5"/>
  <c r="I38" i="5"/>
  <c r="H38" i="5"/>
  <c r="G38" i="5"/>
  <c r="F38" i="5"/>
  <c r="E38" i="5"/>
  <c r="D38" i="5"/>
  <c r="C38" i="5"/>
  <c r="I42" i="5"/>
  <c r="H42" i="5"/>
  <c r="G42" i="5"/>
  <c r="F42" i="5"/>
  <c r="B44" i="6" l="1"/>
  <c r="B28" i="6"/>
  <c r="B48" i="6" l="1"/>
  <c r="A48" i="6"/>
  <c r="B47" i="6"/>
  <c r="B44" i="4" s="1"/>
  <c r="A47" i="6"/>
  <c r="A44" i="4" s="1"/>
  <c r="B46" i="6"/>
  <c r="B43" i="4" s="1"/>
  <c r="A46" i="6"/>
  <c r="B45" i="6"/>
  <c r="B42" i="4" s="1"/>
  <c r="A45" i="6"/>
  <c r="A42" i="4" s="1"/>
  <c r="B41" i="4"/>
  <c r="A44" i="6"/>
  <c r="A41" i="4" s="1"/>
  <c r="B43" i="6"/>
  <c r="B40" i="4" s="1"/>
  <c r="H32" i="4" s="1"/>
  <c r="A43" i="6"/>
  <c r="A40" i="4" s="1"/>
  <c r="G32" i="4" s="1"/>
  <c r="B42" i="6"/>
  <c r="A42" i="6"/>
  <c r="B41" i="6"/>
  <c r="A41" i="6"/>
  <c r="A38" i="4" s="1"/>
  <c r="G30" i="4" s="1"/>
  <c r="B40" i="6"/>
  <c r="B37" i="4" s="1"/>
  <c r="H29" i="4" s="1"/>
  <c r="A40" i="6"/>
  <c r="B39" i="6"/>
  <c r="B36" i="4" s="1"/>
  <c r="H28" i="4" s="1"/>
  <c r="A39" i="6"/>
  <c r="A36" i="4" s="1"/>
  <c r="G28" i="4" s="1"/>
  <c r="B38" i="6"/>
  <c r="B35" i="4" s="1"/>
  <c r="H27" i="4" s="1"/>
  <c r="A38" i="6"/>
  <c r="A35" i="4" s="1"/>
  <c r="G27" i="4" s="1"/>
  <c r="B37" i="6"/>
  <c r="B34" i="4" s="1"/>
  <c r="H26" i="4" s="1"/>
  <c r="A37" i="6"/>
  <c r="A34" i="4" s="1"/>
  <c r="G26" i="4" s="1"/>
  <c r="B32" i="6"/>
  <c r="A32" i="6"/>
  <c r="B31" i="6"/>
  <c r="A31" i="6"/>
  <c r="B30" i="6"/>
  <c r="A30" i="6"/>
  <c r="B29" i="6"/>
  <c r="A29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48" i="5"/>
  <c r="A48" i="5"/>
  <c r="B47" i="5"/>
  <c r="A47" i="5"/>
  <c r="B46" i="5"/>
  <c r="A46" i="5"/>
  <c r="B45" i="5"/>
  <c r="B28" i="4" s="1"/>
  <c r="H25" i="4" s="1"/>
  <c r="A45" i="5"/>
  <c r="A28" i="4" s="1"/>
  <c r="G25" i="4" s="1"/>
  <c r="B44" i="5"/>
  <c r="B27" i="4" s="1"/>
  <c r="H24" i="4" s="1"/>
  <c r="A44" i="5"/>
  <c r="A27" i="4" s="1"/>
  <c r="G24" i="4" s="1"/>
  <c r="B43" i="5"/>
  <c r="B26" i="4" s="1"/>
  <c r="H23" i="4" s="1"/>
  <c r="A43" i="5"/>
  <c r="A26" i="4" s="1"/>
  <c r="G23" i="4" s="1"/>
  <c r="B42" i="5"/>
  <c r="B25" i="4" s="1"/>
  <c r="H22" i="4" s="1"/>
  <c r="A42" i="5"/>
  <c r="B41" i="5"/>
  <c r="A41" i="5"/>
  <c r="B40" i="5"/>
  <c r="B23" i="4" s="1"/>
  <c r="H20" i="4" s="1"/>
  <c r="A40" i="5"/>
  <c r="A23" i="4" s="1"/>
  <c r="G20" i="4" s="1"/>
  <c r="B39" i="5"/>
  <c r="B22" i="4" s="1"/>
  <c r="H19" i="4" s="1"/>
  <c r="A39" i="5"/>
  <c r="A22" i="4" s="1"/>
  <c r="G19" i="4" s="1"/>
  <c r="B38" i="5"/>
  <c r="B21" i="4" s="1"/>
  <c r="H18" i="4" s="1"/>
  <c r="A38" i="5"/>
  <c r="A21" i="4" s="1"/>
  <c r="G18" i="4" s="1"/>
  <c r="B37" i="5"/>
  <c r="B20" i="4" s="1"/>
  <c r="H17" i="4" s="1"/>
  <c r="A37" i="5"/>
  <c r="A20" i="4" s="1"/>
  <c r="G17" i="4" s="1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48" i="2"/>
  <c r="B16" i="4" s="1"/>
  <c r="H16" i="4" s="1"/>
  <c r="A48" i="2"/>
  <c r="B47" i="2"/>
  <c r="A47" i="2"/>
  <c r="A15" i="4" s="1"/>
  <c r="G15" i="4" s="1"/>
  <c r="B46" i="2"/>
  <c r="A46" i="2"/>
  <c r="B45" i="2"/>
  <c r="B13" i="4" s="1"/>
  <c r="H13" i="4" s="1"/>
  <c r="A45" i="2"/>
  <c r="A13" i="4" s="1"/>
  <c r="G13" i="4" s="1"/>
  <c r="B44" i="2"/>
  <c r="B12" i="4" s="1"/>
  <c r="H12" i="4" s="1"/>
  <c r="A44" i="2"/>
  <c r="A12" i="4" s="1"/>
  <c r="G12" i="4" s="1"/>
  <c r="B43" i="2"/>
  <c r="B11" i="4" s="1"/>
  <c r="H11" i="4" s="1"/>
  <c r="A43" i="2"/>
  <c r="A11" i="4" s="1"/>
  <c r="G11" i="4" s="1"/>
  <c r="B42" i="2"/>
  <c r="A42" i="2"/>
  <c r="B41" i="2"/>
  <c r="A41" i="2"/>
  <c r="A9" i="4" s="1"/>
  <c r="G9" i="4" s="1"/>
  <c r="B40" i="2"/>
  <c r="A40" i="2"/>
  <c r="A8" i="4" s="1"/>
  <c r="G8" i="4" s="1"/>
  <c r="B39" i="2"/>
  <c r="B7" i="4" s="1"/>
  <c r="H7" i="4" s="1"/>
  <c r="A39" i="2"/>
  <c r="A7" i="4" s="1"/>
  <c r="G7" i="4" s="1"/>
  <c r="B38" i="2"/>
  <c r="B6" i="4" s="1"/>
  <c r="H6" i="4" s="1"/>
  <c r="A38" i="2"/>
  <c r="A6" i="4" s="1"/>
  <c r="G6" i="4" s="1"/>
  <c r="B37" i="2"/>
  <c r="B5" i="4" s="1"/>
  <c r="H5" i="4" s="1"/>
  <c r="A37" i="2"/>
  <c r="A5" i="4" s="1"/>
  <c r="G5" i="4" s="1"/>
  <c r="B10" i="4"/>
  <c r="H10" i="4" s="1"/>
  <c r="B15" i="4"/>
  <c r="H15" i="4" s="1"/>
  <c r="B9" i="4"/>
  <c r="H9" i="4" s="1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45" i="4"/>
  <c r="A45" i="4"/>
  <c r="A43" i="4"/>
  <c r="B39" i="4"/>
  <c r="H31" i="4" s="1"/>
  <c r="A39" i="4"/>
  <c r="G31" i="4" s="1"/>
  <c r="B38" i="4"/>
  <c r="H30" i="4" s="1"/>
  <c r="A37" i="4"/>
  <c r="G29" i="4" s="1"/>
  <c r="B30" i="4"/>
  <c r="A30" i="4"/>
  <c r="B29" i="4"/>
  <c r="A29" i="4"/>
  <c r="A25" i="4"/>
  <c r="G22" i="4" s="1"/>
  <c r="B24" i="4"/>
  <c r="H21" i="4" s="1"/>
  <c r="A24" i="4"/>
  <c r="G21" i="4" s="1"/>
  <c r="A16" i="4"/>
  <c r="G16" i="4" s="1"/>
  <c r="B14" i="4"/>
  <c r="H14" i="4" s="1"/>
  <c r="A14" i="4"/>
  <c r="G14" i="4" s="1"/>
  <c r="A10" i="4"/>
  <c r="G10" i="4" s="1"/>
  <c r="B8" i="4"/>
  <c r="H8" i="4" s="1"/>
  <c r="C45" i="4"/>
  <c r="C44" i="4"/>
  <c r="C43" i="4"/>
  <c r="H48" i="6"/>
  <c r="E48" i="6"/>
  <c r="D48" i="6"/>
  <c r="C48" i="6"/>
  <c r="J48" i="6" s="1"/>
  <c r="H47" i="6"/>
  <c r="E47" i="6"/>
  <c r="H46" i="6"/>
  <c r="E46" i="6"/>
  <c r="D46" i="6"/>
  <c r="C46" i="6"/>
  <c r="J46" i="6" s="1"/>
  <c r="H45" i="6"/>
  <c r="E45" i="6"/>
  <c r="H44" i="6"/>
  <c r="E44" i="6"/>
  <c r="AE32" i="6"/>
  <c r="O32" i="6"/>
  <c r="AE31" i="6"/>
  <c r="D47" i="6" s="1"/>
  <c r="O31" i="6"/>
  <c r="C47" i="6" s="1"/>
  <c r="J47" i="6" s="1"/>
  <c r="AE30" i="6"/>
  <c r="O30" i="6"/>
  <c r="AE29" i="6"/>
  <c r="D45" i="6" s="1"/>
  <c r="O29" i="6"/>
  <c r="C45" i="6" s="1"/>
  <c r="J45" i="6" s="1"/>
  <c r="C42" i="4" s="1"/>
  <c r="AE28" i="6"/>
  <c r="D44" i="6" s="1"/>
  <c r="O28" i="6"/>
  <c r="C44" i="6" s="1"/>
  <c r="J44" i="6" s="1"/>
  <c r="C41" i="4" s="1"/>
  <c r="AE27" i="6"/>
  <c r="O27" i="6"/>
  <c r="J43" i="6" s="1"/>
  <c r="C40" i="4" s="1"/>
  <c r="I32" i="4" s="1"/>
  <c r="AE26" i="6"/>
  <c r="O26" i="6"/>
  <c r="C42" i="6" s="1"/>
  <c r="J42" i="6" s="1"/>
  <c r="C39" i="4" s="1"/>
  <c r="I31" i="4" s="1"/>
  <c r="AE25" i="6"/>
  <c r="O25" i="6"/>
  <c r="AE24" i="6"/>
  <c r="O24" i="6"/>
  <c r="C40" i="6" s="1"/>
  <c r="J40" i="6" s="1"/>
  <c r="C37" i="4" s="1"/>
  <c r="I29" i="4" s="1"/>
  <c r="AE23" i="6"/>
  <c r="O23" i="6"/>
  <c r="AE22" i="6"/>
  <c r="D38" i="6" s="1"/>
  <c r="O22" i="6"/>
  <c r="AE21" i="6"/>
  <c r="O21" i="6"/>
  <c r="AK20" i="6"/>
  <c r="AG18" i="6" s="1"/>
  <c r="AE20" i="6"/>
  <c r="O20" i="6"/>
  <c r="Q18" i="6"/>
  <c r="D18" i="6"/>
  <c r="AU15" i="6"/>
  <c r="AU14" i="6"/>
  <c r="AU13" i="6"/>
  <c r="AU12" i="6"/>
  <c r="AU11" i="6"/>
  <c r="AU10" i="6"/>
  <c r="AU9" i="6"/>
  <c r="AU8" i="6"/>
  <c r="AU7" i="6"/>
  <c r="AU6" i="6"/>
  <c r="AU5" i="6"/>
  <c r="AU4" i="6"/>
  <c r="E48" i="5"/>
  <c r="D48" i="5"/>
  <c r="C48" i="5"/>
  <c r="J48" i="5" s="1"/>
  <c r="E47" i="5"/>
  <c r="E46" i="5"/>
  <c r="D46" i="5"/>
  <c r="C46" i="5"/>
  <c r="J46" i="5" s="1"/>
  <c r="C29" i="4" s="1"/>
  <c r="E42" i="5"/>
  <c r="D42" i="5"/>
  <c r="C42" i="5"/>
  <c r="AE32" i="5"/>
  <c r="O32" i="5"/>
  <c r="AE31" i="5"/>
  <c r="D47" i="5" s="1"/>
  <c r="O31" i="5"/>
  <c r="C47" i="5" s="1"/>
  <c r="J47" i="5" s="1"/>
  <c r="C30" i="4" s="1"/>
  <c r="AE30" i="5"/>
  <c r="O30" i="5"/>
  <c r="AE29" i="5"/>
  <c r="O29" i="5"/>
  <c r="AE28" i="5"/>
  <c r="O28" i="5"/>
  <c r="J44" i="5" s="1"/>
  <c r="C27" i="4" s="1"/>
  <c r="I24" i="4" s="1"/>
  <c r="AE27" i="5"/>
  <c r="O27" i="5"/>
  <c r="AE26" i="5"/>
  <c r="O26" i="5"/>
  <c r="AE25" i="5"/>
  <c r="O25" i="5"/>
  <c r="AE24" i="5"/>
  <c r="O24" i="5"/>
  <c r="AE23" i="5"/>
  <c r="O23" i="5"/>
  <c r="AE22" i="5"/>
  <c r="O22" i="5"/>
  <c r="AE21" i="5"/>
  <c r="O21" i="5"/>
  <c r="J37" i="5" s="1"/>
  <c r="C20" i="4" s="1"/>
  <c r="I17" i="4" s="1"/>
  <c r="AK20" i="5"/>
  <c r="AE20" i="5"/>
  <c r="O20" i="5"/>
  <c r="AG18" i="5"/>
  <c r="Q18" i="5"/>
  <c r="D18" i="5"/>
  <c r="AU15" i="5"/>
  <c r="AU14" i="5"/>
  <c r="AU13" i="5"/>
  <c r="AU12" i="5"/>
  <c r="AU11" i="5"/>
  <c r="AU10" i="5"/>
  <c r="AU9" i="5"/>
  <c r="AU8" i="5"/>
  <c r="AU7" i="5"/>
  <c r="AU6" i="5"/>
  <c r="AU5" i="5"/>
  <c r="AU4" i="5"/>
  <c r="AE32" i="2"/>
  <c r="O32" i="2"/>
  <c r="AE31" i="2"/>
  <c r="O31" i="2"/>
  <c r="AE30" i="2"/>
  <c r="O30" i="2"/>
  <c r="AE29" i="2"/>
  <c r="O29" i="2"/>
  <c r="AE28" i="2"/>
  <c r="O28" i="2"/>
  <c r="AE27" i="2"/>
  <c r="O27" i="2"/>
  <c r="AE26" i="2"/>
  <c r="O26" i="2"/>
  <c r="AE25" i="2"/>
  <c r="O25" i="2"/>
  <c r="AE24" i="2"/>
  <c r="O24" i="2"/>
  <c r="AE23" i="2"/>
  <c r="O23" i="2"/>
  <c r="AE22" i="2"/>
  <c r="O22" i="2"/>
  <c r="AK20" i="2"/>
  <c r="AG18" i="2" s="1"/>
  <c r="AU15" i="2"/>
  <c r="AU14" i="2"/>
  <c r="AU13" i="2"/>
  <c r="AU12" i="2"/>
  <c r="AU11" i="2"/>
  <c r="AU10" i="2"/>
  <c r="AU9" i="2"/>
  <c r="AU8" i="2"/>
  <c r="AU7" i="2"/>
  <c r="AU6" i="2"/>
  <c r="AU5" i="2"/>
  <c r="AU4" i="2"/>
  <c r="C38" i="6" l="1"/>
  <c r="J38" i="6" s="1"/>
  <c r="C35" i="4" s="1"/>
  <c r="I27" i="4" s="1"/>
  <c r="C41" i="6"/>
  <c r="J41" i="6" s="1"/>
  <c r="C38" i="4" s="1"/>
  <c r="I30" i="4" s="1"/>
  <c r="C39" i="6"/>
  <c r="J39" i="6" s="1"/>
  <c r="C36" i="4" s="1"/>
  <c r="I28" i="4" s="1"/>
  <c r="C34" i="4"/>
  <c r="I26" i="4" s="1"/>
  <c r="J39" i="5"/>
  <c r="C22" i="4" s="1"/>
  <c r="I19" i="4" s="1"/>
  <c r="J41" i="5"/>
  <c r="C24" i="4" s="1"/>
  <c r="I21" i="4" s="1"/>
  <c r="J40" i="5"/>
  <c r="C23" i="4" s="1"/>
  <c r="I20" i="4" s="1"/>
  <c r="J38" i="5"/>
  <c r="C21" i="4" s="1"/>
  <c r="I18" i="4" s="1"/>
  <c r="J42" i="5"/>
  <c r="C25" i="4" s="1"/>
  <c r="I22" i="4" s="1"/>
  <c r="J43" i="5"/>
  <c r="C26" i="4" s="1"/>
  <c r="I23" i="4" s="1"/>
  <c r="J45" i="5"/>
  <c r="C28" i="4" s="1"/>
  <c r="I25" i="4" s="1"/>
  <c r="O21" i="2"/>
  <c r="J48" i="2" l="1"/>
  <c r="C16" i="4" s="1"/>
  <c r="I16" i="4" s="1"/>
  <c r="AE21" i="2"/>
  <c r="AE20" i="2"/>
  <c r="Q18" i="2" s="1"/>
  <c r="O20" i="2"/>
  <c r="D18" i="2" s="1"/>
  <c r="C5" i="4" l="1"/>
  <c r="I5" i="4" s="1"/>
  <c r="J47" i="2"/>
  <c r="C15" i="4" s="1"/>
  <c r="I15" i="4" s="1"/>
  <c r="J46" i="2"/>
  <c r="C14" i="4" s="1"/>
  <c r="I14" i="4" s="1"/>
  <c r="J44" i="2"/>
  <c r="C12" i="4" s="1"/>
  <c r="I12" i="4" s="1"/>
  <c r="J45" i="2"/>
  <c r="C13" i="4" s="1"/>
  <c r="I13" i="4" s="1"/>
  <c r="J43" i="2"/>
  <c r="C11" i="4" s="1"/>
  <c r="I11" i="4" s="1"/>
  <c r="J40" i="2"/>
  <c r="C8" i="4" s="1"/>
  <c r="I8" i="4" s="1"/>
  <c r="J38" i="2"/>
  <c r="C6" i="4" s="1"/>
  <c r="I6" i="4" s="1"/>
  <c r="J41" i="2"/>
  <c r="C9" i="4" s="1"/>
  <c r="I9" i="4" s="1"/>
  <c r="J42" i="2"/>
  <c r="C10" i="4" s="1"/>
  <c r="I10" i="4" s="1"/>
  <c r="J39" i="2"/>
  <c r="C7" i="4" s="1"/>
  <c r="I7" i="4" s="1"/>
</calcChain>
</file>

<file path=xl/comments1.xml><?xml version="1.0" encoding="utf-8"?>
<comments xmlns="http://schemas.openxmlformats.org/spreadsheetml/2006/main">
  <authors>
    <author/>
    <author>Pierre Charlier</author>
  </authors>
  <commentList>
    <comment ref="J19" authorId="0" shapeId="0">
      <text>
        <r>
          <rPr>
            <sz val="10"/>
            <color rgb="FF000000"/>
            <rFont val="Arial"/>
          </rPr>
          <t>saisissez votre texte ici
nav/ul/li/a/header/main</t>
        </r>
      </text>
    </comment>
    <comment ref="L19" authorId="0" shapeId="0">
      <text>
        <r>
          <rPr>
            <sz val="10"/>
            <color rgb="FF000000"/>
            <rFont val="Arial"/>
          </rPr>
          <t>Langue, alt, label</t>
        </r>
      </text>
    </comment>
    <comment ref="M19" authorId="0" shapeId="0">
      <text>
        <r>
          <rPr>
            <sz val="10"/>
            <color rgb="FF000000"/>
            <rFont val="Arial"/>
          </rPr>
          <t>nav</t>
        </r>
      </text>
    </comment>
    <comment ref="W19" authorId="0" shapeId="0">
      <text>
        <r>
          <rPr>
            <sz val="10"/>
            <color rgb="FF000000"/>
            <rFont val="Arial"/>
          </rPr>
          <t>Simple indentation :1
Par fonctions : 2
Objet : 3</t>
        </r>
      </text>
    </comment>
    <comment ref="X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label/input</t>
        </r>
      </text>
    </comment>
    <comment ref="AC19" authorId="0" shapeId="0">
      <text>
        <r>
          <rPr>
            <sz val="10"/>
            <color rgb="FF000000"/>
            <rFont val="Arial"/>
          </rPr>
          <t>CSS
JS</t>
        </r>
      </text>
    </comment>
    <comment ref="AJ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Simple indentation :1
Par fonctions : 2
Objet : 3</t>
        </r>
      </text>
    </comment>
  </commentList>
</comments>
</file>

<file path=xl/comments2.xml><?xml version="1.0" encoding="utf-8"?>
<comments xmlns="http://schemas.openxmlformats.org/spreadsheetml/2006/main">
  <authors>
    <author/>
    <author>Pierre Charlier</author>
  </authors>
  <commentList>
    <comment ref="J19" authorId="0" shapeId="0">
      <text>
        <r>
          <rPr>
            <sz val="10"/>
            <color rgb="FF000000"/>
            <rFont val="Arial"/>
          </rPr>
          <t>saisissez votre texte ici
nav/ul/li/a/header/main</t>
        </r>
      </text>
    </comment>
    <comment ref="L19" authorId="0" shapeId="0">
      <text>
        <r>
          <rPr>
            <sz val="10"/>
            <color rgb="FF000000"/>
            <rFont val="Arial"/>
          </rPr>
          <t>Langue, alt, label</t>
        </r>
      </text>
    </comment>
    <comment ref="M19" authorId="0" shapeId="0">
      <text>
        <r>
          <rPr>
            <sz val="10"/>
            <color rgb="FF000000"/>
            <rFont val="Arial"/>
          </rPr>
          <t>nav</t>
        </r>
      </text>
    </comment>
    <comment ref="W19" authorId="0" shapeId="0">
      <text>
        <r>
          <rPr>
            <sz val="10"/>
            <color rgb="FF000000"/>
            <rFont val="Arial"/>
          </rPr>
          <t>Simple indentation :1
Par fonctions : 2
Objet : 3</t>
        </r>
      </text>
    </comment>
    <comment ref="X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label/input</t>
        </r>
      </text>
    </comment>
    <comment ref="AC19" authorId="0" shapeId="0">
      <text>
        <r>
          <rPr>
            <sz val="10"/>
            <color rgb="FF000000"/>
            <rFont val="Arial"/>
          </rPr>
          <t>CSS
JS</t>
        </r>
      </text>
    </comment>
    <comment ref="AJ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Simple indentation :1
Par fonctions : 2
Objet : 3</t>
        </r>
      </text>
    </comment>
  </commentList>
</comments>
</file>

<file path=xl/comments3.xml><?xml version="1.0" encoding="utf-8"?>
<comments xmlns="http://schemas.openxmlformats.org/spreadsheetml/2006/main">
  <authors>
    <author/>
    <author>Pierre Charlier</author>
  </authors>
  <commentList>
    <comment ref="J19" authorId="0" shapeId="0">
      <text>
        <r>
          <rPr>
            <sz val="10"/>
            <color rgb="FF000000"/>
            <rFont val="Arial"/>
          </rPr>
          <t>saisissez votre texte ici
nav/ul/li/a/header/main</t>
        </r>
      </text>
    </comment>
    <comment ref="L19" authorId="0" shapeId="0">
      <text>
        <r>
          <rPr>
            <sz val="10"/>
            <color rgb="FF000000"/>
            <rFont val="Arial"/>
          </rPr>
          <t>Langue, alt, label</t>
        </r>
      </text>
    </comment>
    <comment ref="M19" authorId="0" shapeId="0">
      <text>
        <r>
          <rPr>
            <sz val="10"/>
            <color rgb="FF000000"/>
            <rFont val="Arial"/>
          </rPr>
          <t>nav</t>
        </r>
      </text>
    </comment>
    <comment ref="W19" authorId="0" shapeId="0">
      <text>
        <r>
          <rPr>
            <sz val="10"/>
            <color rgb="FF000000"/>
            <rFont val="Arial"/>
          </rPr>
          <t>Simple indentation :1
Par fonctions : 2
Objet : 3</t>
        </r>
      </text>
    </comment>
    <comment ref="X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label/input</t>
        </r>
      </text>
    </comment>
    <comment ref="AC19" authorId="0" shapeId="0">
      <text>
        <r>
          <rPr>
            <sz val="10"/>
            <color rgb="FF000000"/>
            <rFont val="Arial"/>
          </rPr>
          <t>CSS
JS</t>
        </r>
      </text>
    </comment>
    <comment ref="AJ19" authorId="1" shapeId="0">
      <text>
        <r>
          <rPr>
            <b/>
            <sz val="9"/>
            <color indexed="81"/>
            <rFont val="Tahoma"/>
            <family val="2"/>
          </rPr>
          <t>Pierre Charlier:</t>
        </r>
        <r>
          <rPr>
            <sz val="9"/>
            <color indexed="81"/>
            <rFont val="Tahoma"/>
            <family val="2"/>
          </rPr>
          <t xml:space="preserve">
Simple indentation :1
Par fonctions : 2
Objet : 3</t>
        </r>
      </text>
    </comment>
  </commentList>
</comments>
</file>

<file path=xl/sharedStrings.xml><?xml version="1.0" encoding="utf-8"?>
<sst xmlns="http://schemas.openxmlformats.org/spreadsheetml/2006/main" count="569" uniqueCount="176">
  <si>
    <t>Modules</t>
  </si>
  <si>
    <t>Max</t>
  </si>
  <si>
    <t>A1</t>
  </si>
  <si>
    <t>A2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</si>
  <si>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</si>
  <si>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</si>
  <si>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</si>
  <si>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</si>
  <si>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</si>
  <si>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</si>
  <si>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</si>
  <si>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</si>
  <si>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</si>
  <si>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</si>
  <si>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C6</t>
  </si>
  <si>
    <t>C7</t>
  </si>
  <si>
    <t>D1</t>
  </si>
  <si>
    <t>D2</t>
  </si>
  <si>
    <t>D3</t>
  </si>
  <si>
    <t>D4</t>
  </si>
  <si>
    <t>Total</t>
  </si>
  <si>
    <t>nom</t>
  </si>
  <si>
    <t>prénom</t>
  </si>
  <si>
    <t>Affichage</t>
  </si>
  <si>
    <t>Layout</t>
  </si>
  <si>
    <t>Intégration</t>
  </si>
  <si>
    <t>Sémantique</t>
  </si>
  <si>
    <t>Accessibilité</t>
  </si>
  <si>
    <t>Grid</t>
  </si>
  <si>
    <t>Flex</t>
  </si>
  <si>
    <t>Fonctionnement</t>
  </si>
  <si>
    <t>Hassan</t>
  </si>
  <si>
    <t>Intégration page (25 Webdesign et 25 Front-End)</t>
  </si>
  <si>
    <t>Webdesign</t>
  </si>
  <si>
    <t>Ss-total</t>
  </si>
  <si>
    <t>Front</t>
  </si>
  <si>
    <t>ss-total</t>
  </si>
  <si>
    <t>html valide (-1)</t>
  </si>
  <si>
    <t>Design respecté (-1)</t>
  </si>
  <si>
    <t>Responsive</t>
  </si>
  <si>
    <t>Logo SVG</t>
  </si>
  <si>
    <t>Title</t>
  </si>
  <si>
    <t>Sémantique (nav/ul/li/ol/a/footer/header/main/table)</t>
  </si>
  <si>
    <t>animations</t>
  </si>
  <si>
    <t>Js organisation</t>
  </si>
  <si>
    <t>no intrusif</t>
  </si>
  <si>
    <t>Commentaires</t>
  </si>
  <si>
    <t>no console.log</t>
  </si>
  <si>
    <t>minificaton</t>
  </si>
  <si>
    <t>ES6</t>
  </si>
  <si>
    <t>TOTAUX</t>
  </si>
  <si>
    <t>WebDesign</t>
  </si>
  <si>
    <t>Front-End</t>
  </si>
  <si>
    <t>A</t>
  </si>
  <si>
    <t>B</t>
  </si>
  <si>
    <t>C</t>
  </si>
  <si>
    <t>D</t>
  </si>
  <si>
    <t>B6</t>
  </si>
  <si>
    <t>B7</t>
  </si>
  <si>
    <t>C8</t>
  </si>
  <si>
    <t>no error JS (-0,5)</t>
  </si>
  <si>
    <t>Access, (-0.5)</t>
  </si>
  <si>
    <t>Bastien</t>
  </si>
  <si>
    <t>Lua</t>
  </si>
  <si>
    <t>Dylan</t>
  </si>
  <si>
    <t>Blanchar</t>
  </si>
  <si>
    <t>Edouard</t>
  </si>
  <si>
    <t>Justin</t>
  </si>
  <si>
    <t>COLLEYE</t>
  </si>
  <si>
    <t>Emilie</t>
  </si>
  <si>
    <t>Caroline</t>
  </si>
  <si>
    <t>Liège</t>
  </si>
  <si>
    <t>Cepegra</t>
  </si>
  <si>
    <t>Inraci</t>
  </si>
  <si>
    <t>Résumé</t>
  </si>
  <si>
    <t>A3</t>
  </si>
  <si>
    <t>&lt;1000</t>
  </si>
  <si>
    <t>&gt;1000</t>
  </si>
  <si>
    <t>5px large</t>
  </si>
  <si>
    <t>20px décalage</t>
  </si>
  <si>
    <t>Color change</t>
  </si>
  <si>
    <t>Timer &amp; boucle</t>
  </si>
  <si>
    <t>Bas gauche</t>
  </si>
  <si>
    <t>Haut droit</t>
  </si>
  <si>
    <t>Titres section</t>
  </si>
  <si>
    <t>règles des n°</t>
  </si>
  <si>
    <t>En dur</t>
  </si>
  <si>
    <t>Ajax</t>
  </si>
  <si>
    <t>Calcul OK</t>
  </si>
  <si>
    <t>Contrôle erreurs</t>
  </si>
  <si>
    <t>Return OK</t>
  </si>
  <si>
    <t>Contrôle erreur</t>
  </si>
  <si>
    <t>Tri sur nom</t>
  </si>
  <si>
    <t>Tri sur LN &amp; FN</t>
  </si>
  <si>
    <t>Tri</t>
  </si>
  <si>
    <t>Validation</t>
  </si>
  <si>
    <t>Prise de vue</t>
  </si>
  <si>
    <t>Aff. Photo</t>
  </si>
  <si>
    <t>Event detect</t>
  </si>
  <si>
    <t>Scroll</t>
  </si>
  <si>
    <t>no GET</t>
  </si>
  <si>
    <t>Recept url</t>
  </si>
  <si>
    <t>Redirect</t>
  </si>
  <si>
    <t>Valid, debut</t>
  </si>
  <si>
    <t>Valid taille</t>
  </si>
  <si>
    <t>Liste des villes</t>
  </si>
  <si>
    <t>Nombre de villes</t>
  </si>
  <si>
    <t>Breackpoint 1000</t>
  </si>
  <si>
    <t>Nombre avis</t>
  </si>
  <si>
    <t>Expression</t>
  </si>
  <si>
    <t>Moyenne tranche</t>
  </si>
  <si>
    <t>Histogramme</t>
  </si>
  <si>
    <t>Moyenne gén.</t>
  </si>
  <si>
    <t>Confirmation</t>
  </si>
  <si>
    <t>Back</t>
  </si>
  <si>
    <t>Réception data</t>
  </si>
  <si>
    <t>Ajout JSON</t>
  </si>
  <si>
    <t>Actu datavisu</t>
  </si>
  <si>
    <t>POST</t>
  </si>
  <si>
    <t>SASS/bundler</t>
  </si>
  <si>
    <t>Icones</t>
  </si>
  <si>
    <t>noms img (-1)</t>
  </si>
  <si>
    <t>Org, du code</t>
  </si>
  <si>
    <t>Back-End</t>
  </si>
  <si>
    <t>VAN MEERBERGEN</t>
  </si>
  <si>
    <t>Renaud</t>
  </si>
  <si>
    <t>Aurelien</t>
  </si>
  <si>
    <t>COPPÉE</t>
  </si>
  <si>
    <t>PATUREAU</t>
  </si>
  <si>
    <t>DEMARET</t>
  </si>
  <si>
    <t>Antoine</t>
  </si>
  <si>
    <t>DUBOIS</t>
  </si>
  <si>
    <t>NYSSENS</t>
  </si>
  <si>
    <t>Élisabeth</t>
  </si>
  <si>
    <t>STEVAUX</t>
  </si>
  <si>
    <t>Loïc</t>
  </si>
  <si>
    <t>JACQMIN</t>
  </si>
  <si>
    <t>YASSINE</t>
  </si>
  <si>
    <t>Abdesselam</t>
  </si>
  <si>
    <t>MIRZA</t>
  </si>
  <si>
    <t>CADRANEL</t>
  </si>
  <si>
    <t>Kael</t>
  </si>
  <si>
    <t>LEPAGE</t>
  </si>
  <si>
    <t>Hugo</t>
  </si>
  <si>
    <t>SENGA-VITA</t>
  </si>
  <si>
    <t>VINCENT</t>
  </si>
  <si>
    <t>WILLEMS</t>
  </si>
  <si>
    <t>HALBART</t>
  </si>
  <si>
    <t>Arthur</t>
  </si>
  <si>
    <t>MIKOLAJCZYK</t>
  </si>
  <si>
    <t>Wiktor</t>
  </si>
  <si>
    <t>SUM</t>
  </si>
  <si>
    <t>Sovan</t>
  </si>
  <si>
    <t>Romain</t>
  </si>
  <si>
    <t>SENTURK</t>
  </si>
  <si>
    <t>martin</t>
  </si>
  <si>
    <t>MEUNIER</t>
  </si>
  <si>
    <t>Sacha</t>
  </si>
  <si>
    <t>FORTIN</t>
  </si>
  <si>
    <t>Nathan</t>
  </si>
  <si>
    <t>JACQUET</t>
  </si>
  <si>
    <t>MAREE</t>
  </si>
  <si>
    <t>Bruno</t>
  </si>
  <si>
    <t>NGANDU</t>
  </si>
  <si>
    <t>Raphaël</t>
  </si>
  <si>
    <t>PIRLOT</t>
  </si>
  <si>
    <t>Audrey</t>
  </si>
  <si>
    <t>HOUIOUX</t>
  </si>
  <si>
    <t>Guillaume</t>
  </si>
  <si>
    <t>Regroupement</t>
  </si>
  <si>
    <t>Test 1(2)</t>
  </si>
  <si>
    <t>Test 2 (1)</t>
  </si>
  <si>
    <t>Test 1 (2)</t>
  </si>
  <si>
    <t>Test 2 (2)</t>
  </si>
  <si>
    <t>Namur</t>
  </si>
  <si>
    <t>inraci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</si>
</sst>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0" borderId="0" xfId="0" applyFont="1" applyAlignment="1"/>
    <xf numFmtId="0" fontId="1" fillId="0" borderId="0" xfId="0" applyFont="1"/>
    <xf numFmtId="0" fontId="1" fillId="0" borderId="0" xfId="0" applyFont="1" applyFill="1" applyAlignment="1"/>
    <xf numFmtId="0" fontId="0" fillId="2" borderId="0" xfId="0" applyFont="1" applyFill="1" applyAlignment="1"/>
    <xf numFmtId="0" fontId="1" fillId="2" borderId="0" xfId="0" applyFont="1" applyFill="1" applyAlignment="1"/>
    <xf numFmtId="0" fontId="1" fillId="2" borderId="0" xfId="0" applyFont="1" applyFill="1"/>
    <xf numFmtId="0" fontId="2" fillId="0" borderId="0" xfId="0" applyFont="1" applyAlignment="1"/>
    <xf numFmtId="0" fontId="1" fillId="3" borderId="0" xfId="0" applyFont="1" applyFill="1" applyAlignment="1"/>
    <xf numFmtId="0" fontId="1" fillId="3" borderId="0" xfId="0" applyFont="1" applyFill="1"/>
    <xf numFmtId="0" fontId="0" fillId="3" borderId="0" xfId="0" applyFont="1" applyFill="1" applyAlignment="1"/>
    <xf numFmtId="0" fontId="3" fillId="0" borderId="0" xfId="0" applyFont="1" applyAlignment="1"/>
    <xf numFmtId="0" fontId="6" fillId="0" borderId="0" xfId="0" applyFont="1" applyAlignment="1"/>
    <xf numFmtId="49" fontId="1" fillId="3" borderId="0" xfId="0" applyNumberFormat="1" applyFont="1" applyFill="1" applyAlignment="1"/>
    <xf numFmtId="0" fontId="7" fillId="0" borderId="0" xfId="0" applyFont="1" applyAlignment="1"/>
    <xf numFmtId="0" fontId="0" fillId="0" borderId="0" xfId="0" applyFont="1" applyFill="1" applyAlignment="1"/>
    <xf numFmtId="0" fontId="1" fillId="4" borderId="0" xfId="0" applyFont="1" applyFill="1" applyAlignment="1"/>
    <xf numFmtId="0" fontId="0" fillId="4" borderId="0" xfId="0" applyFont="1" applyFill="1" applyAlignment="1"/>
    <xf numFmtId="0" fontId="1" fillId="4" borderId="0" xfId="0" applyFont="1" applyFill="1"/>
    <xf numFmtId="0" fontId="3" fillId="4" borderId="0" xfId="0" applyFont="1" applyFill="1" applyAlignment="1"/>
    <xf numFmtId="0" fontId="1" fillId="5" borderId="0" xfId="0" applyFont="1" applyFill="1" applyAlignment="1"/>
    <xf numFmtId="0" fontId="0" fillId="5" borderId="0" xfId="0" applyFont="1" applyFill="1" applyAlignment="1"/>
    <xf numFmtId="0" fontId="1" fillId="5" borderId="0" xfId="0" applyFont="1" applyFill="1"/>
    <xf numFmtId="0" fontId="8" fillId="5" borderId="0" xfId="0" applyFont="1" applyFill="1" applyAlignment="1"/>
    <xf numFmtId="0" fontId="3" fillId="6" borderId="0" xfId="0" applyFont="1" applyFill="1" applyAlignment="1"/>
    <xf numFmtId="0" fontId="1" fillId="6" borderId="0" xfId="0" applyFont="1" applyFill="1" applyAlignment="1"/>
    <xf numFmtId="0" fontId="0" fillId="6" borderId="0" xfId="0" applyFont="1" applyFill="1" applyAlignment="1"/>
    <xf numFmtId="0" fontId="1" fillId="6" borderId="0" xfId="0" applyFont="1" applyFill="1"/>
    <xf numFmtId="49" fontId="3" fillId="5" borderId="0" xfId="0" applyNumberFormat="1" applyFont="1" applyFill="1" applyAlignment="1"/>
    <xf numFmtId="49" fontId="1" fillId="5" borderId="0" xfId="0" applyNumberFormat="1" applyFont="1" applyFill="1" applyAlignment="1"/>
    <xf numFmtId="0" fontId="3" fillId="5" borderId="0" xfId="0" applyFont="1" applyFill="1" applyAlignment="1"/>
    <xf numFmtId="0" fontId="0" fillId="7" borderId="0" xfId="0" applyFont="1" applyFill="1" applyAlignment="1"/>
    <xf numFmtId="0" fontId="0" fillId="8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35</xdr:row>
          <xdr:rowOff>142875</xdr:rowOff>
        </xdr:from>
        <xdr:to>
          <xdr:col>8</xdr:col>
          <xdr:colOff>361950</xdr:colOff>
          <xdr:row>38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U48"/>
  <sheetViews>
    <sheetView topLeftCell="A14" zoomScaleNormal="100" workbookViewId="0">
      <pane xSplit="1" topLeftCell="B1" activePane="topRight" state="frozen"/>
      <selection pane="topRight" activeCell="J56" sqref="J56"/>
    </sheetView>
  </sheetViews>
  <sheetFormatPr baseColWidth="10" defaultColWidth="14.42578125" defaultRowHeight="15.75" customHeight="1" x14ac:dyDescent="0.2"/>
  <cols>
    <col min="1" max="1" width="13.28515625" customWidth="1"/>
  </cols>
  <sheetData>
    <row r="1" spans="1:47" ht="12.75" x14ac:dyDescent="0.2">
      <c r="A1" s="1"/>
      <c r="B1" s="1"/>
      <c r="C1" s="7" t="s">
        <v>0</v>
      </c>
      <c r="D1" s="4">
        <v>44</v>
      </c>
    </row>
    <row r="2" spans="1:47" ht="12.75" x14ac:dyDescent="0.2">
      <c r="A2" s="1" t="s">
        <v>1</v>
      </c>
      <c r="B2" s="1"/>
      <c r="C2" s="1" t="s">
        <v>2</v>
      </c>
      <c r="D2" s="1" t="s">
        <v>2</v>
      </c>
      <c r="E2" s="1" t="s">
        <v>3</v>
      </c>
      <c r="F2" s="1" t="s">
        <v>3</v>
      </c>
      <c r="G2" s="1" t="s">
        <v>75</v>
      </c>
      <c r="H2" s="1" t="s">
        <v>75</v>
      </c>
      <c r="I2" s="1" t="s">
        <v>4</v>
      </c>
      <c r="J2" s="1" t="s">
        <v>4</v>
      </c>
      <c r="K2" s="1" t="s">
        <v>5</v>
      </c>
      <c r="L2" s="1" t="s">
        <v>5</v>
      </c>
      <c r="M2" s="1" t="s">
        <v>6</v>
      </c>
      <c r="N2" s="1" t="s">
        <v>6</v>
      </c>
      <c r="O2" s="1" t="s">
        <v>7</v>
      </c>
      <c r="P2" s="1" t="s">
        <v>7</v>
      </c>
      <c r="Q2" s="1" t="s">
        <v>8</v>
      </c>
      <c r="R2" s="1" t="s">
        <v>8</v>
      </c>
      <c r="S2" s="1" t="s">
        <v>57</v>
      </c>
      <c r="T2" s="1" t="s">
        <v>57</v>
      </c>
      <c r="U2" s="1" t="s">
        <v>58</v>
      </c>
      <c r="V2" s="1" t="s">
        <v>58</v>
      </c>
      <c r="W2" s="1" t="s">
        <v>9</v>
      </c>
      <c r="X2" s="1" t="s">
        <v>9</v>
      </c>
      <c r="Y2" s="1" t="s">
        <v>10</v>
      </c>
      <c r="Z2" s="1" t="s">
        <v>10</v>
      </c>
      <c r="AA2" s="1" t="s">
        <v>11</v>
      </c>
      <c r="AB2" s="1" t="s">
        <v>11</v>
      </c>
      <c r="AC2" s="1" t="s">
        <v>12</v>
      </c>
      <c r="AD2" s="1" t="s">
        <v>12</v>
      </c>
      <c r="AE2" s="1" t="s">
        <v>13</v>
      </c>
      <c r="AF2" s="1" t="s">
        <v>13</v>
      </c>
      <c r="AG2" s="1" t="s">
        <v>14</v>
      </c>
      <c r="AH2" s="1" t="s">
        <v>14</v>
      </c>
      <c r="AI2" s="1" t="s">
        <v>15</v>
      </c>
      <c r="AJ2" s="1" t="s">
        <v>15</v>
      </c>
      <c r="AK2" s="1" t="s">
        <v>59</v>
      </c>
      <c r="AL2" s="1" t="s">
        <v>59</v>
      </c>
      <c r="AM2" s="1" t="s">
        <v>16</v>
      </c>
      <c r="AN2" s="1" t="s">
        <v>16</v>
      </c>
      <c r="AO2" s="1" t="s">
        <v>17</v>
      </c>
      <c r="AP2" s="1" t="s">
        <v>17</v>
      </c>
      <c r="AQ2" s="1" t="s">
        <v>18</v>
      </c>
      <c r="AR2" s="1" t="s">
        <v>18</v>
      </c>
      <c r="AS2" s="1" t="s">
        <v>19</v>
      </c>
      <c r="AT2" s="1" t="s">
        <v>19</v>
      </c>
      <c r="AU2" s="1" t="s">
        <v>20</v>
      </c>
    </row>
    <row r="3" spans="1:47" ht="12.75" x14ac:dyDescent="0.2">
      <c r="A3" s="1" t="s">
        <v>21</v>
      </c>
      <c r="B3" s="1" t="s">
        <v>22</v>
      </c>
      <c r="C3" s="1" t="s">
        <v>24</v>
      </c>
      <c r="D3" s="1" t="s">
        <v>25</v>
      </c>
      <c r="E3" s="1" t="s">
        <v>170</v>
      </c>
      <c r="F3" s="1" t="s">
        <v>171</v>
      </c>
      <c r="G3" s="1" t="s">
        <v>172</v>
      </c>
      <c r="H3" s="1" t="s">
        <v>173</v>
      </c>
      <c r="I3" s="1" t="s">
        <v>26</v>
      </c>
      <c r="J3" s="1" t="s">
        <v>27</v>
      </c>
      <c r="K3" s="1" t="s">
        <v>29</v>
      </c>
      <c r="L3" s="1" t="s">
        <v>28</v>
      </c>
      <c r="M3" s="1" t="s">
        <v>76</v>
      </c>
      <c r="N3" s="1" t="s">
        <v>77</v>
      </c>
      <c r="O3" s="1" t="s">
        <v>78</v>
      </c>
      <c r="P3" s="1" t="s">
        <v>79</v>
      </c>
      <c r="Q3" s="1" t="s">
        <v>80</v>
      </c>
      <c r="R3" s="1" t="s">
        <v>81</v>
      </c>
      <c r="S3" s="1" t="s">
        <v>82</v>
      </c>
      <c r="T3" s="1" t="s">
        <v>83</v>
      </c>
      <c r="U3" s="1" t="s">
        <v>84</v>
      </c>
      <c r="V3" s="1" t="s">
        <v>85</v>
      </c>
      <c r="W3" s="1" t="s">
        <v>25</v>
      </c>
      <c r="X3" s="1" t="s">
        <v>30</v>
      </c>
      <c r="Y3" s="1" t="s">
        <v>86</v>
      </c>
      <c r="Z3" s="1" t="s">
        <v>87</v>
      </c>
      <c r="AA3" s="1" t="s">
        <v>88</v>
      </c>
      <c r="AB3" s="1" t="s">
        <v>89</v>
      </c>
      <c r="AC3" s="1" t="s">
        <v>90</v>
      </c>
      <c r="AD3" s="1" t="s">
        <v>91</v>
      </c>
      <c r="AE3" s="1" t="s">
        <v>92</v>
      </c>
      <c r="AF3" s="1" t="s">
        <v>93</v>
      </c>
      <c r="AG3" s="1" t="s">
        <v>94</v>
      </c>
      <c r="AH3" s="1" t="s">
        <v>95</v>
      </c>
      <c r="AI3" s="1" t="s">
        <v>96</v>
      </c>
      <c r="AJ3" s="1" t="s">
        <v>97</v>
      </c>
      <c r="AK3" s="1" t="s">
        <v>98</v>
      </c>
      <c r="AL3" s="1" t="s">
        <v>99</v>
      </c>
      <c r="AM3" s="1" t="s">
        <v>23</v>
      </c>
      <c r="AN3" s="1" t="s">
        <v>100</v>
      </c>
      <c r="AO3" s="1" t="s">
        <v>101</v>
      </c>
      <c r="AP3" s="1" t="s">
        <v>102</v>
      </c>
      <c r="AQ3" s="1" t="s">
        <v>103</v>
      </c>
      <c r="AR3" s="1" t="s">
        <v>104</v>
      </c>
      <c r="AS3" s="1" t="s">
        <v>105</v>
      </c>
      <c r="AT3" s="1" t="s">
        <v>106</v>
      </c>
      <c r="AU3" s="1"/>
    </row>
    <row r="4" spans="1:47" s="17" customFormat="1" ht="12.75" x14ac:dyDescent="0.2">
      <c r="A4" s="19" t="s">
        <v>160</v>
      </c>
      <c r="B4" s="16" t="s">
        <v>64</v>
      </c>
      <c r="C4" s="16">
        <v>0</v>
      </c>
      <c r="D4" s="16">
        <v>0</v>
      </c>
      <c r="E4" s="16">
        <v>1</v>
      </c>
      <c r="F4" s="16">
        <v>0</v>
      </c>
      <c r="G4" s="16">
        <v>1</v>
      </c>
      <c r="H4" s="16">
        <v>1</v>
      </c>
      <c r="I4" s="16">
        <v>1</v>
      </c>
      <c r="J4" s="16">
        <v>1</v>
      </c>
      <c r="K4" s="16">
        <v>1</v>
      </c>
      <c r="L4" s="16">
        <v>1</v>
      </c>
      <c r="M4" s="16">
        <v>1</v>
      </c>
      <c r="N4" s="16">
        <v>1</v>
      </c>
      <c r="O4" s="16">
        <v>1</v>
      </c>
      <c r="P4" s="16">
        <v>1</v>
      </c>
      <c r="Q4" s="16">
        <v>1</v>
      </c>
      <c r="R4" s="16">
        <v>1</v>
      </c>
      <c r="S4" s="16">
        <v>1</v>
      </c>
      <c r="T4" s="16">
        <v>1</v>
      </c>
      <c r="U4" s="16">
        <v>1</v>
      </c>
      <c r="V4" s="16">
        <v>1</v>
      </c>
      <c r="W4" s="16">
        <v>0</v>
      </c>
      <c r="X4" s="16">
        <v>0</v>
      </c>
      <c r="Y4" s="16">
        <v>0</v>
      </c>
      <c r="Z4" s="16">
        <v>0</v>
      </c>
      <c r="AA4" s="16">
        <v>1</v>
      </c>
      <c r="AB4" s="16">
        <v>0.5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6">
        <v>0.5</v>
      </c>
      <c r="AN4" s="16">
        <v>1</v>
      </c>
      <c r="AO4" s="16">
        <v>1</v>
      </c>
      <c r="AP4" s="16">
        <v>0</v>
      </c>
      <c r="AQ4" s="16">
        <v>0</v>
      </c>
      <c r="AR4" s="16">
        <v>0</v>
      </c>
      <c r="AS4" s="16">
        <v>0</v>
      </c>
      <c r="AT4" s="16">
        <v>0</v>
      </c>
      <c r="AU4" s="16">
        <f>SUM(C4:AT4)</f>
        <v>21</v>
      </c>
    </row>
    <row r="5" spans="1:47" s="17" customFormat="1" ht="12.75" x14ac:dyDescent="0.2">
      <c r="A5" s="16" t="s">
        <v>124</v>
      </c>
      <c r="B5" s="19" t="s">
        <v>125</v>
      </c>
      <c r="C5" s="16">
        <v>1</v>
      </c>
      <c r="D5" s="16">
        <v>0.5</v>
      </c>
      <c r="E5" s="16">
        <v>1</v>
      </c>
      <c r="F5" s="16">
        <v>1</v>
      </c>
      <c r="G5" s="16">
        <v>1</v>
      </c>
      <c r="H5" s="16">
        <v>1</v>
      </c>
      <c r="I5" s="16">
        <v>0.5</v>
      </c>
      <c r="J5" s="16">
        <v>0.5</v>
      </c>
      <c r="K5" s="16">
        <v>1</v>
      </c>
      <c r="L5" s="16">
        <v>1</v>
      </c>
      <c r="M5" s="16">
        <v>1</v>
      </c>
      <c r="N5" s="16">
        <v>1</v>
      </c>
      <c r="O5" s="16">
        <v>1</v>
      </c>
      <c r="P5" s="16">
        <v>1</v>
      </c>
      <c r="Q5" s="16">
        <v>1</v>
      </c>
      <c r="R5" s="16">
        <v>0.5</v>
      </c>
      <c r="S5" s="16">
        <v>1</v>
      </c>
      <c r="T5" s="16">
        <v>0</v>
      </c>
      <c r="U5" s="16">
        <v>0.5</v>
      </c>
      <c r="V5" s="16">
        <v>0</v>
      </c>
      <c r="W5" s="16">
        <v>0</v>
      </c>
      <c r="X5" s="16">
        <v>0</v>
      </c>
      <c r="Y5" s="16">
        <v>1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0</v>
      </c>
      <c r="AT5" s="16">
        <v>0</v>
      </c>
      <c r="AU5" s="16">
        <f t="shared" ref="AU5:AU15" si="0">SUM(C5:AT5)</f>
        <v>16.5</v>
      </c>
    </row>
    <row r="6" spans="1:47" s="17" customFormat="1" ht="12.75" x14ac:dyDescent="0.2">
      <c r="A6" s="16" t="s">
        <v>140</v>
      </c>
      <c r="B6" s="16" t="s">
        <v>141</v>
      </c>
      <c r="C6" s="16">
        <v>0</v>
      </c>
      <c r="D6" s="16">
        <v>0</v>
      </c>
      <c r="E6" s="16">
        <v>0</v>
      </c>
      <c r="F6" s="16">
        <v>1</v>
      </c>
      <c r="G6" s="16">
        <v>1</v>
      </c>
      <c r="H6" s="16">
        <v>0</v>
      </c>
      <c r="I6" s="16">
        <v>0.5</v>
      </c>
      <c r="J6" s="16">
        <v>1</v>
      </c>
      <c r="K6" s="16">
        <v>1</v>
      </c>
      <c r="L6" s="16">
        <v>1</v>
      </c>
      <c r="M6" s="16">
        <v>1</v>
      </c>
      <c r="N6" s="16">
        <v>1</v>
      </c>
      <c r="O6" s="16">
        <v>1</v>
      </c>
      <c r="P6" s="16">
        <v>1</v>
      </c>
      <c r="Q6" s="16">
        <v>0.5</v>
      </c>
      <c r="R6" s="16">
        <v>1</v>
      </c>
      <c r="S6" s="16">
        <v>1</v>
      </c>
      <c r="T6" s="16">
        <v>1</v>
      </c>
      <c r="U6" s="16">
        <v>1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1</v>
      </c>
      <c r="AB6" s="16">
        <v>1</v>
      </c>
      <c r="AC6" s="16">
        <v>1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1</v>
      </c>
      <c r="AN6" s="16">
        <v>1</v>
      </c>
      <c r="AO6" s="16">
        <v>1</v>
      </c>
      <c r="AP6" s="16">
        <v>0</v>
      </c>
      <c r="AQ6" s="16">
        <v>0</v>
      </c>
      <c r="AR6" s="16">
        <v>0</v>
      </c>
      <c r="AS6" s="16">
        <v>1</v>
      </c>
      <c r="AT6" s="16">
        <v>0</v>
      </c>
      <c r="AU6" s="16">
        <f t="shared" si="0"/>
        <v>21</v>
      </c>
    </row>
    <row r="7" spans="1:47" s="17" customFormat="1" ht="12.75" x14ac:dyDescent="0.2">
      <c r="A7" s="16" t="s">
        <v>68</v>
      </c>
      <c r="B7" s="16" t="s">
        <v>69</v>
      </c>
      <c r="C7" s="16">
        <v>0</v>
      </c>
      <c r="D7" s="16">
        <v>0</v>
      </c>
      <c r="E7" s="16">
        <v>1</v>
      </c>
      <c r="F7" s="16">
        <v>1</v>
      </c>
      <c r="G7" s="16">
        <v>1</v>
      </c>
      <c r="H7" s="16">
        <v>1</v>
      </c>
      <c r="I7" s="16">
        <v>0</v>
      </c>
      <c r="J7" s="16">
        <v>0</v>
      </c>
      <c r="K7" s="16">
        <v>0</v>
      </c>
      <c r="L7" s="16">
        <v>0</v>
      </c>
      <c r="M7" s="16">
        <v>1</v>
      </c>
      <c r="N7" s="16">
        <v>0</v>
      </c>
      <c r="O7" s="16">
        <v>1</v>
      </c>
      <c r="P7" s="16">
        <v>1</v>
      </c>
      <c r="Q7" s="16">
        <v>1</v>
      </c>
      <c r="R7" s="16">
        <v>1</v>
      </c>
      <c r="S7" s="16">
        <v>1</v>
      </c>
      <c r="T7" s="16">
        <v>0</v>
      </c>
      <c r="U7" s="16">
        <v>1</v>
      </c>
      <c r="V7" s="16">
        <v>1</v>
      </c>
      <c r="W7" s="16">
        <v>0</v>
      </c>
      <c r="X7" s="16">
        <v>0</v>
      </c>
      <c r="Y7" s="16">
        <v>1</v>
      </c>
      <c r="Z7" s="16">
        <v>1</v>
      </c>
      <c r="AA7" s="16">
        <v>1</v>
      </c>
      <c r="AB7" s="16">
        <v>1</v>
      </c>
      <c r="AC7" s="16">
        <v>1</v>
      </c>
      <c r="AD7" s="16">
        <v>1</v>
      </c>
      <c r="AE7" s="16">
        <v>0</v>
      </c>
      <c r="AF7" s="16">
        <v>0</v>
      </c>
      <c r="AG7" s="16">
        <v>0</v>
      </c>
      <c r="AH7" s="16">
        <v>0</v>
      </c>
      <c r="AI7" s="16">
        <v>0</v>
      </c>
      <c r="AJ7" s="16">
        <v>0</v>
      </c>
      <c r="AK7" s="16">
        <v>1</v>
      </c>
      <c r="AL7" s="16">
        <v>1</v>
      </c>
      <c r="AM7" s="16">
        <v>1</v>
      </c>
      <c r="AN7" s="16">
        <v>0</v>
      </c>
      <c r="AO7" s="16">
        <v>1</v>
      </c>
      <c r="AP7" s="16">
        <v>0</v>
      </c>
      <c r="AQ7" s="16">
        <v>0</v>
      </c>
      <c r="AR7" s="16">
        <v>0</v>
      </c>
      <c r="AS7" s="16">
        <v>0.5</v>
      </c>
      <c r="AT7" s="16">
        <v>0</v>
      </c>
      <c r="AU7" s="16">
        <f t="shared" si="0"/>
        <v>22.5</v>
      </c>
    </row>
    <row r="8" spans="1:47" s="17" customFormat="1" ht="12.75" x14ac:dyDescent="0.2">
      <c r="A8" s="16" t="s">
        <v>142</v>
      </c>
      <c r="B8" s="16" t="s">
        <v>143</v>
      </c>
      <c r="C8" s="16">
        <v>0.5</v>
      </c>
      <c r="D8" s="16">
        <v>0</v>
      </c>
      <c r="E8" s="16">
        <v>1</v>
      </c>
      <c r="F8" s="16">
        <v>0</v>
      </c>
      <c r="G8" s="16">
        <v>1</v>
      </c>
      <c r="H8" s="16">
        <v>1</v>
      </c>
      <c r="I8" s="16">
        <v>0.5</v>
      </c>
      <c r="J8" s="16">
        <v>1</v>
      </c>
      <c r="K8" s="16">
        <v>0</v>
      </c>
      <c r="L8" s="16">
        <v>0</v>
      </c>
      <c r="M8" s="16">
        <v>0.5</v>
      </c>
      <c r="N8" s="16">
        <v>0.5</v>
      </c>
      <c r="O8" s="16">
        <v>0</v>
      </c>
      <c r="P8" s="16">
        <v>0</v>
      </c>
      <c r="Q8" s="16">
        <v>0</v>
      </c>
      <c r="R8" s="16">
        <v>0</v>
      </c>
      <c r="S8" s="16">
        <v>1</v>
      </c>
      <c r="T8" s="16">
        <v>1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1</v>
      </c>
      <c r="AB8" s="16">
        <v>1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6">
        <v>0</v>
      </c>
      <c r="AN8" s="16">
        <v>0</v>
      </c>
      <c r="AO8" s="16">
        <v>0</v>
      </c>
      <c r="AP8" s="16">
        <v>0</v>
      </c>
      <c r="AQ8" s="16">
        <v>0</v>
      </c>
      <c r="AR8" s="16">
        <v>0</v>
      </c>
      <c r="AS8" s="16">
        <v>1</v>
      </c>
      <c r="AT8" s="16">
        <v>0</v>
      </c>
      <c r="AU8" s="16">
        <f t="shared" si="0"/>
        <v>11</v>
      </c>
    </row>
    <row r="9" spans="1:47" s="17" customFormat="1" ht="15.75" customHeight="1" x14ac:dyDescent="0.2">
      <c r="A9" s="16" t="s">
        <v>144</v>
      </c>
      <c r="B9" s="16" t="s">
        <v>65</v>
      </c>
      <c r="C9" s="16">
        <v>0</v>
      </c>
      <c r="D9" s="16">
        <v>0.5</v>
      </c>
      <c r="E9" s="16">
        <v>0</v>
      </c>
      <c r="F9" s="16">
        <v>1</v>
      </c>
      <c r="G9" s="16">
        <v>1</v>
      </c>
      <c r="H9" s="16">
        <v>1</v>
      </c>
      <c r="I9" s="16">
        <v>0</v>
      </c>
      <c r="J9" s="16">
        <v>0.5</v>
      </c>
      <c r="K9" s="16">
        <v>0</v>
      </c>
      <c r="L9" s="16">
        <v>0</v>
      </c>
      <c r="M9" s="16">
        <v>1</v>
      </c>
      <c r="N9" s="16">
        <v>1</v>
      </c>
      <c r="O9" s="16">
        <v>1</v>
      </c>
      <c r="P9" s="16">
        <v>0</v>
      </c>
      <c r="Q9" s="16">
        <v>1</v>
      </c>
      <c r="R9" s="16">
        <v>1</v>
      </c>
      <c r="S9" s="16">
        <v>0</v>
      </c>
      <c r="T9" s="16">
        <v>0.5</v>
      </c>
      <c r="U9" s="16">
        <v>1</v>
      </c>
      <c r="V9" s="16">
        <v>1</v>
      </c>
      <c r="W9" s="16">
        <v>0</v>
      </c>
      <c r="X9" s="16">
        <v>0</v>
      </c>
      <c r="Y9" s="16">
        <v>0</v>
      </c>
      <c r="Z9" s="16">
        <v>0.5</v>
      </c>
      <c r="AA9" s="16">
        <v>1</v>
      </c>
      <c r="AB9" s="16">
        <v>1</v>
      </c>
      <c r="AC9" s="16">
        <v>0.5</v>
      </c>
      <c r="AD9" s="16">
        <v>1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1</v>
      </c>
      <c r="AL9" s="16">
        <v>0</v>
      </c>
      <c r="AM9" s="16">
        <v>0.5</v>
      </c>
      <c r="AN9" s="16">
        <v>0</v>
      </c>
      <c r="AO9" s="16">
        <v>1</v>
      </c>
      <c r="AP9" s="16">
        <v>0</v>
      </c>
      <c r="AQ9" s="16">
        <v>0</v>
      </c>
      <c r="AR9" s="16">
        <v>0</v>
      </c>
      <c r="AS9" s="16">
        <v>0</v>
      </c>
      <c r="AT9" s="16">
        <v>1</v>
      </c>
      <c r="AU9" s="16">
        <f t="shared" si="0"/>
        <v>19</v>
      </c>
    </row>
    <row r="10" spans="1:47" s="17" customFormat="1" ht="12.75" x14ac:dyDescent="0.2">
      <c r="A10" s="16" t="s">
        <v>145</v>
      </c>
      <c r="B10" s="16" t="s">
        <v>67</v>
      </c>
      <c r="C10" s="16">
        <v>1</v>
      </c>
      <c r="D10" s="16">
        <v>0</v>
      </c>
      <c r="E10" s="16">
        <v>0</v>
      </c>
      <c r="F10" s="16">
        <v>1</v>
      </c>
      <c r="G10" s="16">
        <v>0</v>
      </c>
      <c r="H10" s="16">
        <v>1</v>
      </c>
      <c r="I10" s="16">
        <v>0</v>
      </c>
      <c r="J10" s="16">
        <v>1</v>
      </c>
      <c r="K10" s="16">
        <v>0</v>
      </c>
      <c r="L10" s="16">
        <v>1</v>
      </c>
      <c r="M10" s="16">
        <v>1</v>
      </c>
      <c r="N10" s="16">
        <v>1</v>
      </c>
      <c r="O10" s="16">
        <v>1</v>
      </c>
      <c r="P10" s="16">
        <v>1</v>
      </c>
      <c r="Q10" s="16">
        <v>1</v>
      </c>
      <c r="R10" s="16">
        <v>1</v>
      </c>
      <c r="S10" s="16">
        <v>1</v>
      </c>
      <c r="T10" s="16">
        <v>1</v>
      </c>
      <c r="U10" s="16">
        <v>0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6">
        <v>1</v>
      </c>
      <c r="AN10" s="16">
        <v>1</v>
      </c>
      <c r="AO10" s="16">
        <v>1</v>
      </c>
      <c r="AP10" s="16">
        <v>1</v>
      </c>
      <c r="AQ10" s="16">
        <v>0</v>
      </c>
      <c r="AR10" s="16">
        <v>0</v>
      </c>
      <c r="AS10" s="16">
        <v>1</v>
      </c>
      <c r="AT10" s="16">
        <v>1</v>
      </c>
      <c r="AU10" s="16">
        <f t="shared" si="0"/>
        <v>19</v>
      </c>
    </row>
    <row r="11" spans="1:47" s="17" customFormat="1" ht="12.75" x14ac:dyDescent="0.2">
      <c r="A11" s="16" t="s">
        <v>146</v>
      </c>
      <c r="B11" s="16" t="s">
        <v>66</v>
      </c>
      <c r="C11" s="16">
        <v>0</v>
      </c>
      <c r="D11" s="16">
        <v>0</v>
      </c>
      <c r="E11" s="16">
        <v>1</v>
      </c>
      <c r="F11" s="16">
        <v>0</v>
      </c>
      <c r="G11" s="16">
        <v>1</v>
      </c>
      <c r="H11" s="16">
        <v>1</v>
      </c>
      <c r="I11" s="16">
        <v>0</v>
      </c>
      <c r="J11" s="16">
        <v>0</v>
      </c>
      <c r="K11" s="16">
        <v>0</v>
      </c>
      <c r="L11" s="16">
        <v>1</v>
      </c>
      <c r="M11" s="16">
        <v>1</v>
      </c>
      <c r="N11" s="16">
        <v>1</v>
      </c>
      <c r="O11" s="16">
        <v>1</v>
      </c>
      <c r="P11" s="16">
        <v>0</v>
      </c>
      <c r="Q11" s="16">
        <v>0</v>
      </c>
      <c r="R11" s="16">
        <v>0</v>
      </c>
      <c r="S11" s="16">
        <v>1</v>
      </c>
      <c r="T11" s="16">
        <v>1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1</v>
      </c>
      <c r="AB11" s="16">
        <v>1</v>
      </c>
      <c r="AC11" s="16">
        <v>0.5</v>
      </c>
      <c r="AD11" s="16">
        <v>1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1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f t="shared" si="0"/>
        <v>13.5</v>
      </c>
    </row>
    <row r="12" spans="1:47" s="21" customFormat="1" ht="12.75" x14ac:dyDescent="0.2">
      <c r="A12" s="20" t="s">
        <v>156</v>
      </c>
      <c r="B12" s="20" t="s">
        <v>157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v>0</v>
      </c>
      <c r="T12" s="20">
        <v>0</v>
      </c>
      <c r="U12" s="20">
        <v>0</v>
      </c>
      <c r="V12" s="20">
        <v>0</v>
      </c>
      <c r="W12" s="20">
        <v>0</v>
      </c>
      <c r="X12" s="20">
        <v>0</v>
      </c>
      <c r="Y12" s="20">
        <v>0</v>
      </c>
      <c r="Z12" s="20">
        <v>0</v>
      </c>
      <c r="AA12" s="20">
        <v>0</v>
      </c>
      <c r="AB12" s="20">
        <v>0</v>
      </c>
      <c r="AC12" s="20">
        <v>0</v>
      </c>
      <c r="AD12" s="20">
        <v>0</v>
      </c>
      <c r="AE12" s="20">
        <v>0</v>
      </c>
      <c r="AF12" s="20">
        <v>0</v>
      </c>
      <c r="AG12" s="20">
        <v>0</v>
      </c>
      <c r="AH12" s="20">
        <v>0</v>
      </c>
      <c r="AI12" s="20">
        <v>0</v>
      </c>
      <c r="AJ12" s="20">
        <v>0</v>
      </c>
      <c r="AK12" s="20">
        <v>0</v>
      </c>
      <c r="AL12" s="20">
        <v>0</v>
      </c>
      <c r="AM12" s="20">
        <v>0</v>
      </c>
      <c r="AN12" s="20">
        <v>0</v>
      </c>
      <c r="AO12" s="20">
        <v>0</v>
      </c>
      <c r="AP12" s="20">
        <v>0</v>
      </c>
      <c r="AQ12" s="20">
        <v>0</v>
      </c>
      <c r="AR12" s="20">
        <v>0</v>
      </c>
      <c r="AS12" s="20">
        <v>0</v>
      </c>
      <c r="AT12" s="20">
        <v>0</v>
      </c>
      <c r="AU12" s="20">
        <f t="shared" si="0"/>
        <v>0</v>
      </c>
    </row>
    <row r="13" spans="1:47" s="17" customFormat="1" ht="12.75" x14ac:dyDescent="0.2">
      <c r="A13" s="19" t="s">
        <v>158</v>
      </c>
      <c r="B13" s="19" t="s">
        <v>159</v>
      </c>
      <c r="C13" s="16">
        <v>1</v>
      </c>
      <c r="D13" s="16">
        <v>0</v>
      </c>
      <c r="E13" s="16">
        <v>1</v>
      </c>
      <c r="F13" s="16">
        <v>0</v>
      </c>
      <c r="G13" s="16">
        <v>1</v>
      </c>
      <c r="H13" s="16">
        <v>1</v>
      </c>
      <c r="I13" s="16">
        <v>0.5</v>
      </c>
      <c r="J13" s="16">
        <v>0.5</v>
      </c>
      <c r="K13" s="16">
        <v>0</v>
      </c>
      <c r="L13" s="16">
        <v>0</v>
      </c>
      <c r="M13" s="16">
        <v>0</v>
      </c>
      <c r="N13" s="16">
        <v>0</v>
      </c>
      <c r="O13" s="16">
        <v>1</v>
      </c>
      <c r="P13" s="16">
        <v>1</v>
      </c>
      <c r="Q13" s="16">
        <v>0</v>
      </c>
      <c r="R13" s="16">
        <v>0</v>
      </c>
      <c r="S13" s="16">
        <v>1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1</v>
      </c>
      <c r="AL13" s="16">
        <v>1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f t="shared" si="0"/>
        <v>10</v>
      </c>
    </row>
    <row r="14" spans="1:47" s="17" customFormat="1" ht="12.75" x14ac:dyDescent="0.2">
      <c r="A14" s="16" t="s">
        <v>161</v>
      </c>
      <c r="B14" s="16" t="s">
        <v>162</v>
      </c>
      <c r="C14" s="16">
        <v>0</v>
      </c>
      <c r="D14" s="16">
        <v>0</v>
      </c>
      <c r="E14" s="16">
        <v>1</v>
      </c>
      <c r="F14" s="16">
        <v>1</v>
      </c>
      <c r="G14" s="16">
        <v>1</v>
      </c>
      <c r="H14" s="16">
        <v>1</v>
      </c>
      <c r="I14" s="16">
        <v>0</v>
      </c>
      <c r="J14" s="16">
        <v>1</v>
      </c>
      <c r="K14" s="16">
        <v>0</v>
      </c>
      <c r="L14" s="16">
        <v>0</v>
      </c>
      <c r="M14" s="16">
        <v>0</v>
      </c>
      <c r="N14" s="16">
        <v>0</v>
      </c>
      <c r="O14" s="16">
        <v>1</v>
      </c>
      <c r="P14" s="16">
        <v>1</v>
      </c>
      <c r="Q14" s="16">
        <v>0</v>
      </c>
      <c r="R14" s="16">
        <v>0</v>
      </c>
      <c r="S14" s="16">
        <v>1</v>
      </c>
      <c r="T14" s="16">
        <v>0.5</v>
      </c>
      <c r="U14" s="16">
        <v>0.5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f t="shared" si="0"/>
        <v>9</v>
      </c>
    </row>
    <row r="15" spans="1:47" s="21" customFormat="1" ht="12.75" x14ac:dyDescent="0.2">
      <c r="A15" s="20" t="s">
        <v>163</v>
      </c>
      <c r="B15" s="20" t="s">
        <v>164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</v>
      </c>
      <c r="AC15" s="20">
        <v>0</v>
      </c>
      <c r="AD15" s="20">
        <v>0</v>
      </c>
      <c r="AE15" s="20">
        <v>0</v>
      </c>
      <c r="AF15" s="20">
        <v>0</v>
      </c>
      <c r="AG15" s="20">
        <v>0</v>
      </c>
      <c r="AH15" s="20">
        <v>0</v>
      </c>
      <c r="AI15" s="20">
        <v>0</v>
      </c>
      <c r="AJ15" s="20">
        <v>0</v>
      </c>
      <c r="AK15" s="20">
        <v>0</v>
      </c>
      <c r="AL15" s="20">
        <v>0</v>
      </c>
      <c r="AM15" s="20">
        <v>0</v>
      </c>
      <c r="AN15" s="20">
        <v>0</v>
      </c>
      <c r="AO15" s="20">
        <v>0</v>
      </c>
      <c r="AP15" s="20">
        <v>0</v>
      </c>
      <c r="AQ15" s="20">
        <v>0</v>
      </c>
      <c r="AR15" s="20">
        <v>0</v>
      </c>
      <c r="AS15" s="20">
        <v>0</v>
      </c>
      <c r="AT15" s="20">
        <v>0</v>
      </c>
      <c r="AU15" s="20">
        <f t="shared" si="0"/>
        <v>0</v>
      </c>
    </row>
    <row r="16" spans="1:47" ht="12.75" x14ac:dyDescent="0.2">
      <c r="A16" s="1"/>
      <c r="B16" s="1"/>
      <c r="C16" s="1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5"/>
    </row>
    <row r="17" spans="1:47" ht="12.75" x14ac:dyDescent="0.2">
      <c r="A17" s="1"/>
      <c r="B17" s="1"/>
      <c r="C17" s="1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5"/>
    </row>
    <row r="18" spans="1:47" ht="12.75" x14ac:dyDescent="0.2">
      <c r="A18" s="7" t="s">
        <v>32</v>
      </c>
      <c r="C18" s="7" t="s">
        <v>33</v>
      </c>
      <c r="D18" s="6">
        <f>O20</f>
        <v>22</v>
      </c>
      <c r="N18" s="1"/>
      <c r="P18" s="7" t="s">
        <v>35</v>
      </c>
      <c r="Q18" s="6">
        <f>AE20</f>
        <v>25</v>
      </c>
      <c r="AF18" s="12" t="s">
        <v>114</v>
      </c>
      <c r="AG18" s="4">
        <f>AK20</f>
        <v>9</v>
      </c>
    </row>
    <row r="19" spans="1:47" ht="12.75" x14ac:dyDescent="0.2">
      <c r="C19" s="1" t="s">
        <v>37</v>
      </c>
      <c r="D19" s="1" t="s">
        <v>38</v>
      </c>
      <c r="E19" s="1" t="s">
        <v>39</v>
      </c>
      <c r="F19" s="1" t="s">
        <v>40</v>
      </c>
      <c r="G19" s="11" t="s">
        <v>120</v>
      </c>
      <c r="H19" s="1" t="s">
        <v>41</v>
      </c>
      <c r="I19" s="11" t="s">
        <v>119</v>
      </c>
      <c r="J19" s="1" t="s">
        <v>42</v>
      </c>
      <c r="K19" s="1" t="s">
        <v>107</v>
      </c>
      <c r="L19" s="1" t="s">
        <v>61</v>
      </c>
      <c r="M19" s="1" t="s">
        <v>43</v>
      </c>
      <c r="N19" s="11" t="s">
        <v>121</v>
      </c>
      <c r="O19" s="1" t="s">
        <v>34</v>
      </c>
      <c r="P19" s="1" t="s">
        <v>87</v>
      </c>
      <c r="Q19" s="1" t="s">
        <v>108</v>
      </c>
      <c r="R19" s="1" t="s">
        <v>109</v>
      </c>
      <c r="S19" s="1" t="s">
        <v>110</v>
      </c>
      <c r="T19" s="11" t="s">
        <v>111</v>
      </c>
      <c r="U19" s="11" t="s">
        <v>112</v>
      </c>
      <c r="V19" s="11" t="s">
        <v>113</v>
      </c>
      <c r="W19" s="1" t="s">
        <v>44</v>
      </c>
      <c r="X19" s="1" t="s">
        <v>26</v>
      </c>
      <c r="Y19" s="1" t="s">
        <v>45</v>
      </c>
      <c r="Z19" s="1" t="s">
        <v>46</v>
      </c>
      <c r="AA19" s="1" t="s">
        <v>60</v>
      </c>
      <c r="AB19" s="1" t="s">
        <v>47</v>
      </c>
      <c r="AC19" s="1" t="s">
        <v>48</v>
      </c>
      <c r="AD19" s="1" t="s">
        <v>49</v>
      </c>
      <c r="AE19" s="1" t="s">
        <v>36</v>
      </c>
      <c r="AF19" s="11" t="s">
        <v>115</v>
      </c>
      <c r="AG19" s="11" t="s">
        <v>116</v>
      </c>
      <c r="AH19" s="11" t="s">
        <v>117</v>
      </c>
      <c r="AI19" s="11" t="s">
        <v>118</v>
      </c>
      <c r="AJ19" s="11" t="s">
        <v>122</v>
      </c>
      <c r="AK19" s="1" t="s">
        <v>36</v>
      </c>
    </row>
    <row r="20" spans="1:47" s="4" customFormat="1" ht="12.75" x14ac:dyDescent="0.2">
      <c r="C20" s="5">
        <v>2</v>
      </c>
      <c r="D20" s="5">
        <v>2</v>
      </c>
      <c r="E20" s="5">
        <v>2</v>
      </c>
      <c r="F20" s="5">
        <v>1</v>
      </c>
      <c r="G20" s="5">
        <v>1</v>
      </c>
      <c r="H20" s="5">
        <v>1</v>
      </c>
      <c r="I20" s="5">
        <v>2</v>
      </c>
      <c r="J20" s="5">
        <v>6</v>
      </c>
      <c r="K20" s="5">
        <v>1</v>
      </c>
      <c r="L20" s="5">
        <v>1</v>
      </c>
      <c r="M20" s="5">
        <v>1</v>
      </c>
      <c r="N20" s="5">
        <v>2</v>
      </c>
      <c r="O20" s="5">
        <f>SUM(C20:N20)</f>
        <v>22</v>
      </c>
      <c r="P20" s="5">
        <v>2</v>
      </c>
      <c r="Q20" s="5">
        <v>2</v>
      </c>
      <c r="R20" s="5">
        <v>2</v>
      </c>
      <c r="S20" s="5">
        <v>2</v>
      </c>
      <c r="T20" s="5">
        <v>2</v>
      </c>
      <c r="U20" s="5">
        <v>2</v>
      </c>
      <c r="V20" s="5">
        <v>2</v>
      </c>
      <c r="W20" s="5">
        <v>3</v>
      </c>
      <c r="X20" s="5">
        <v>2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4">
        <f>SUM(P20:AD20)</f>
        <v>25</v>
      </c>
      <c r="AF20" s="4">
        <v>1</v>
      </c>
      <c r="AG20" s="4">
        <v>2</v>
      </c>
      <c r="AH20" s="4">
        <v>2</v>
      </c>
      <c r="AI20" s="4">
        <v>1</v>
      </c>
      <c r="AJ20" s="4">
        <v>3</v>
      </c>
      <c r="AK20" s="4">
        <f>SUM(AF20:AJ20)</f>
        <v>9</v>
      </c>
    </row>
    <row r="21" spans="1:47" s="17" customFormat="1" ht="12.75" x14ac:dyDescent="0.2">
      <c r="A21" s="16" t="str">
        <f t="shared" ref="A21:B32" si="1">A4</f>
        <v>JACQUET</v>
      </c>
      <c r="B21" s="16" t="str">
        <f t="shared" si="1"/>
        <v>Dylan</v>
      </c>
      <c r="C21" s="16">
        <v>1</v>
      </c>
      <c r="D21" s="16">
        <v>1</v>
      </c>
      <c r="E21" s="16">
        <v>2</v>
      </c>
      <c r="F21" s="16">
        <v>0.5</v>
      </c>
      <c r="G21" s="16">
        <v>0</v>
      </c>
      <c r="H21" s="16">
        <v>0</v>
      </c>
      <c r="I21" s="16">
        <v>2</v>
      </c>
      <c r="J21" s="16">
        <v>4</v>
      </c>
      <c r="K21" s="16">
        <v>1</v>
      </c>
      <c r="L21" s="16">
        <v>1</v>
      </c>
      <c r="M21" s="16">
        <v>0</v>
      </c>
      <c r="N21" s="16">
        <v>0</v>
      </c>
      <c r="O21" s="16">
        <f>SUM(C21:N21)</f>
        <v>12.5</v>
      </c>
      <c r="P21" s="16">
        <v>0</v>
      </c>
      <c r="Q21" s="16">
        <v>0</v>
      </c>
      <c r="R21" s="16">
        <v>0</v>
      </c>
      <c r="S21" s="16">
        <v>0</v>
      </c>
      <c r="T21" s="16">
        <v>1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1</v>
      </c>
      <c r="AB21" s="16">
        <v>1</v>
      </c>
      <c r="AC21" s="16">
        <v>0</v>
      </c>
      <c r="AD21" s="16">
        <v>0</v>
      </c>
      <c r="AE21" s="18">
        <f>SUM(P21:AD21)</f>
        <v>3</v>
      </c>
      <c r="AF21" s="17">
        <v>0</v>
      </c>
      <c r="AG21" s="17">
        <v>0</v>
      </c>
      <c r="AH21" s="17">
        <v>0</v>
      </c>
      <c r="AI21" s="17">
        <v>0</v>
      </c>
      <c r="AJ21" s="17">
        <v>0</v>
      </c>
      <c r="AK21" s="17">
        <v>0</v>
      </c>
    </row>
    <row r="22" spans="1:47" s="17" customFormat="1" ht="12.75" x14ac:dyDescent="0.2">
      <c r="A22" s="16" t="str">
        <f t="shared" si="1"/>
        <v>VAN MEERBERGEN</v>
      </c>
      <c r="B22" s="16" t="str">
        <f t="shared" si="1"/>
        <v>Renaud</v>
      </c>
      <c r="C22" s="16">
        <v>1</v>
      </c>
      <c r="D22" s="16">
        <v>1</v>
      </c>
      <c r="E22" s="16">
        <v>1</v>
      </c>
      <c r="F22" s="16">
        <v>1</v>
      </c>
      <c r="G22" s="16">
        <v>1</v>
      </c>
      <c r="H22" s="16">
        <v>1</v>
      </c>
      <c r="I22" s="16">
        <v>0</v>
      </c>
      <c r="J22" s="16">
        <v>5</v>
      </c>
      <c r="K22" s="16">
        <v>1</v>
      </c>
      <c r="L22" s="16">
        <v>0.5</v>
      </c>
      <c r="M22" s="16">
        <v>0</v>
      </c>
      <c r="N22" s="16">
        <v>1.5</v>
      </c>
      <c r="O22" s="16">
        <f t="shared" ref="O22:O32" si="2">SUM(C22:N22)</f>
        <v>14</v>
      </c>
      <c r="P22" s="16">
        <v>0</v>
      </c>
      <c r="Q22" s="16">
        <v>0</v>
      </c>
      <c r="R22" s="16">
        <v>0</v>
      </c>
      <c r="S22" s="16">
        <v>0</v>
      </c>
      <c r="T22" s="16">
        <v>1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1</v>
      </c>
      <c r="AB22" s="16">
        <v>1</v>
      </c>
      <c r="AC22" s="16">
        <v>0</v>
      </c>
      <c r="AD22" s="16">
        <v>0</v>
      </c>
      <c r="AE22" s="18">
        <f t="shared" ref="AE22:AE32" si="3">SUM(P22:AD22)</f>
        <v>3</v>
      </c>
      <c r="AF22" s="17">
        <v>0</v>
      </c>
      <c r="AG22" s="17">
        <v>0</v>
      </c>
      <c r="AH22" s="17">
        <v>0</v>
      </c>
      <c r="AI22" s="17">
        <v>0</v>
      </c>
      <c r="AJ22" s="17">
        <v>0</v>
      </c>
      <c r="AK22" s="17">
        <v>0</v>
      </c>
    </row>
    <row r="23" spans="1:47" s="17" customFormat="1" ht="12.75" x14ac:dyDescent="0.2">
      <c r="A23" s="16" t="str">
        <f t="shared" si="1"/>
        <v>CADRANEL</v>
      </c>
      <c r="B23" s="16" t="str">
        <f t="shared" si="1"/>
        <v>Kael</v>
      </c>
      <c r="C23" s="16">
        <v>1</v>
      </c>
      <c r="D23" s="16">
        <v>0</v>
      </c>
      <c r="E23" s="16">
        <v>0</v>
      </c>
      <c r="F23" s="16">
        <v>1</v>
      </c>
      <c r="G23" s="16">
        <v>0</v>
      </c>
      <c r="H23" s="16">
        <v>1</v>
      </c>
      <c r="I23" s="16">
        <v>0.5</v>
      </c>
      <c r="J23" s="16">
        <v>2</v>
      </c>
      <c r="K23" s="16">
        <v>0</v>
      </c>
      <c r="L23" s="16">
        <v>0</v>
      </c>
      <c r="M23" s="16">
        <v>0</v>
      </c>
      <c r="N23" s="16">
        <v>0</v>
      </c>
      <c r="O23" s="16">
        <f t="shared" si="2"/>
        <v>5.5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1</v>
      </c>
      <c r="AB23" s="16">
        <v>1</v>
      </c>
      <c r="AC23" s="16">
        <v>0</v>
      </c>
      <c r="AD23" s="16">
        <v>0</v>
      </c>
      <c r="AE23" s="18">
        <f t="shared" si="3"/>
        <v>2</v>
      </c>
      <c r="AF23" s="17">
        <v>0</v>
      </c>
      <c r="AG23" s="17">
        <v>0</v>
      </c>
      <c r="AH23" s="17">
        <v>0</v>
      </c>
      <c r="AI23" s="17">
        <v>0</v>
      </c>
      <c r="AJ23" s="17">
        <v>0</v>
      </c>
      <c r="AK23" s="17">
        <v>0</v>
      </c>
      <c r="AL23" s="18"/>
      <c r="AM23" s="18"/>
      <c r="AN23" s="18"/>
      <c r="AO23" s="18"/>
      <c r="AP23" s="18"/>
      <c r="AQ23" s="18"/>
      <c r="AR23" s="18"/>
      <c r="AS23" s="18"/>
      <c r="AT23" s="18"/>
    </row>
    <row r="24" spans="1:47" s="17" customFormat="1" ht="12.75" x14ac:dyDescent="0.2">
      <c r="A24" s="16" t="str">
        <f t="shared" si="1"/>
        <v>COLLEYE</v>
      </c>
      <c r="B24" s="16" t="str">
        <f t="shared" si="1"/>
        <v>Emilie</v>
      </c>
      <c r="C24" s="16">
        <v>0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f t="shared" si="2"/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8">
        <f t="shared" si="3"/>
        <v>0</v>
      </c>
      <c r="AF24" s="17">
        <v>0</v>
      </c>
      <c r="AG24" s="17">
        <v>0</v>
      </c>
      <c r="AH24" s="17">
        <v>0</v>
      </c>
      <c r="AI24" s="17">
        <v>0</v>
      </c>
      <c r="AJ24" s="17">
        <v>0</v>
      </c>
      <c r="AK24" s="17">
        <v>0</v>
      </c>
    </row>
    <row r="25" spans="1:47" s="17" customFormat="1" ht="12.75" x14ac:dyDescent="0.2">
      <c r="A25" s="16" t="str">
        <f t="shared" si="1"/>
        <v>LEPAGE</v>
      </c>
      <c r="B25" s="16" t="str">
        <f t="shared" si="1"/>
        <v>Hugo</v>
      </c>
      <c r="C25" s="16">
        <v>1</v>
      </c>
      <c r="D25" s="16">
        <v>0</v>
      </c>
      <c r="E25" s="16">
        <v>0</v>
      </c>
      <c r="F25" s="16">
        <v>0.5</v>
      </c>
      <c r="G25" s="16">
        <v>0.5</v>
      </c>
      <c r="H25" s="16">
        <v>1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f t="shared" si="2"/>
        <v>3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8">
        <f t="shared" si="3"/>
        <v>0</v>
      </c>
      <c r="AF25" s="17">
        <v>0</v>
      </c>
      <c r="AG25" s="17">
        <v>0</v>
      </c>
      <c r="AH25" s="17">
        <v>0</v>
      </c>
      <c r="AI25" s="17">
        <v>0</v>
      </c>
      <c r="AJ25" s="17">
        <v>0</v>
      </c>
      <c r="AK25" s="17">
        <v>0</v>
      </c>
    </row>
    <row r="26" spans="1:47" s="17" customFormat="1" ht="12.75" x14ac:dyDescent="0.2">
      <c r="A26" s="16" t="str">
        <f t="shared" si="1"/>
        <v>SENGA-VITA</v>
      </c>
      <c r="B26" s="16" t="str">
        <f t="shared" si="1"/>
        <v>Blanchar</v>
      </c>
      <c r="C26" s="16">
        <v>1</v>
      </c>
      <c r="D26" s="16">
        <v>0</v>
      </c>
      <c r="E26" s="16">
        <v>0</v>
      </c>
      <c r="F26" s="16">
        <v>0.5</v>
      </c>
      <c r="G26" s="16">
        <v>0</v>
      </c>
      <c r="H26" s="16">
        <v>0</v>
      </c>
      <c r="I26" s="16">
        <v>0</v>
      </c>
      <c r="J26" s="16">
        <v>4</v>
      </c>
      <c r="K26" s="16">
        <v>0</v>
      </c>
      <c r="L26" s="16">
        <v>0</v>
      </c>
      <c r="M26" s="16">
        <v>0</v>
      </c>
      <c r="N26" s="16">
        <v>0</v>
      </c>
      <c r="O26" s="16">
        <f t="shared" si="2"/>
        <v>5.5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1</v>
      </c>
      <c r="AB26" s="16">
        <v>1</v>
      </c>
      <c r="AC26" s="16">
        <v>0</v>
      </c>
      <c r="AD26" s="16">
        <v>0</v>
      </c>
      <c r="AE26" s="18">
        <f t="shared" si="3"/>
        <v>2</v>
      </c>
      <c r="AF26" s="17">
        <v>0</v>
      </c>
      <c r="AG26" s="17">
        <v>0</v>
      </c>
      <c r="AH26" s="17">
        <v>0</v>
      </c>
      <c r="AI26" s="17">
        <v>0</v>
      </c>
      <c r="AJ26" s="17">
        <v>0</v>
      </c>
      <c r="AK26" s="17">
        <v>0</v>
      </c>
    </row>
    <row r="27" spans="1:47" s="17" customFormat="1" ht="12.75" x14ac:dyDescent="0.2">
      <c r="A27" s="16" t="str">
        <f t="shared" si="1"/>
        <v>VINCENT</v>
      </c>
      <c r="B27" s="16" t="str">
        <f t="shared" si="1"/>
        <v>Justin</v>
      </c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f t="shared" si="2"/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B27" s="16">
        <v>0</v>
      </c>
      <c r="AC27" s="16">
        <v>0</v>
      </c>
      <c r="AD27" s="16">
        <v>0</v>
      </c>
      <c r="AE27" s="18">
        <f t="shared" si="3"/>
        <v>0</v>
      </c>
      <c r="AF27" s="17">
        <v>0</v>
      </c>
      <c r="AG27" s="17">
        <v>0</v>
      </c>
      <c r="AH27" s="17">
        <v>0</v>
      </c>
      <c r="AI27" s="17">
        <v>0</v>
      </c>
      <c r="AJ27" s="17">
        <v>0</v>
      </c>
      <c r="AK27" s="17">
        <v>0</v>
      </c>
    </row>
    <row r="28" spans="1:47" s="17" customFormat="1" ht="12.75" x14ac:dyDescent="0.2">
      <c r="A28" s="16" t="str">
        <f t="shared" si="1"/>
        <v>WILLEMS</v>
      </c>
      <c r="B28" s="16" t="str">
        <f t="shared" si="1"/>
        <v>Edouard</v>
      </c>
      <c r="C28" s="16">
        <v>1</v>
      </c>
      <c r="D28" s="16">
        <v>0</v>
      </c>
      <c r="E28" s="16">
        <v>0</v>
      </c>
      <c r="F28" s="16">
        <v>1</v>
      </c>
      <c r="G28" s="16">
        <v>1</v>
      </c>
      <c r="H28" s="16">
        <v>1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1</v>
      </c>
      <c r="O28" s="16">
        <f t="shared" si="2"/>
        <v>5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0</v>
      </c>
      <c r="AE28" s="18">
        <f t="shared" si="3"/>
        <v>0</v>
      </c>
      <c r="AF28" s="17">
        <v>0</v>
      </c>
      <c r="AG28" s="17">
        <v>0</v>
      </c>
      <c r="AH28" s="17">
        <v>0</v>
      </c>
      <c r="AI28" s="17">
        <v>0</v>
      </c>
      <c r="AJ28" s="17">
        <v>0</v>
      </c>
      <c r="AK28" s="17">
        <v>0</v>
      </c>
    </row>
    <row r="29" spans="1:47" s="21" customFormat="1" ht="12.75" x14ac:dyDescent="0.2">
      <c r="A29" s="20" t="str">
        <f t="shared" si="1"/>
        <v>MEUNIER</v>
      </c>
      <c r="B29" s="20" t="str">
        <f t="shared" si="1"/>
        <v>Sacha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f t="shared" si="2"/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  <c r="AD29" s="20">
        <v>0</v>
      </c>
      <c r="AE29" s="22">
        <f t="shared" si="3"/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</row>
    <row r="30" spans="1:47" s="17" customFormat="1" ht="12.75" x14ac:dyDescent="0.2">
      <c r="A30" s="16" t="str">
        <f t="shared" si="1"/>
        <v>FORTIN</v>
      </c>
      <c r="B30" s="16" t="str">
        <f t="shared" si="1"/>
        <v>Nathan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f t="shared" si="2"/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8">
        <f t="shared" si="3"/>
        <v>0</v>
      </c>
      <c r="AF30" s="17">
        <v>0</v>
      </c>
      <c r="AG30" s="17">
        <v>0</v>
      </c>
      <c r="AH30" s="17">
        <v>0</v>
      </c>
      <c r="AI30" s="17">
        <v>0</v>
      </c>
      <c r="AJ30" s="17">
        <v>0</v>
      </c>
      <c r="AK30" s="17">
        <v>0</v>
      </c>
    </row>
    <row r="31" spans="1:47" s="17" customFormat="1" ht="12.75" x14ac:dyDescent="0.2">
      <c r="A31" s="16" t="str">
        <f t="shared" si="1"/>
        <v>MAREE</v>
      </c>
      <c r="B31" s="16" t="str">
        <f t="shared" si="1"/>
        <v>Bruno</v>
      </c>
      <c r="C31" s="16">
        <v>0</v>
      </c>
      <c r="D31" s="16">
        <v>0</v>
      </c>
      <c r="E31" s="16">
        <v>0</v>
      </c>
      <c r="F31" s="16">
        <v>0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f t="shared" si="2"/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16">
        <v>0</v>
      </c>
      <c r="Z31" s="16">
        <v>0</v>
      </c>
      <c r="AA31" s="16">
        <v>0</v>
      </c>
      <c r="AB31" s="16">
        <v>0</v>
      </c>
      <c r="AC31" s="16">
        <v>0</v>
      </c>
      <c r="AD31" s="16">
        <v>0</v>
      </c>
      <c r="AE31" s="18">
        <f t="shared" si="3"/>
        <v>0</v>
      </c>
      <c r="AF31" s="17">
        <v>0</v>
      </c>
      <c r="AG31" s="17">
        <v>0</v>
      </c>
      <c r="AH31" s="17">
        <v>0</v>
      </c>
      <c r="AI31" s="17">
        <v>0</v>
      </c>
      <c r="AJ31" s="17">
        <v>0</v>
      </c>
      <c r="AK31" s="17">
        <v>0</v>
      </c>
    </row>
    <row r="32" spans="1:47" s="21" customFormat="1" ht="12.75" x14ac:dyDescent="0.2">
      <c r="A32" s="20" t="str">
        <f t="shared" si="1"/>
        <v>NGANDU</v>
      </c>
      <c r="B32" s="20" t="str">
        <f t="shared" si="1"/>
        <v>Raphaël</v>
      </c>
      <c r="C32" s="20">
        <v>0</v>
      </c>
      <c r="D32" s="20">
        <v>0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f t="shared" si="2"/>
        <v>0</v>
      </c>
      <c r="P32" s="20">
        <v>0</v>
      </c>
      <c r="Q32" s="20">
        <v>0</v>
      </c>
      <c r="R32" s="20">
        <v>0</v>
      </c>
      <c r="S32" s="20">
        <v>0</v>
      </c>
      <c r="T32" s="20">
        <v>0</v>
      </c>
      <c r="U32" s="20">
        <v>0</v>
      </c>
      <c r="V32" s="20">
        <v>0</v>
      </c>
      <c r="W32" s="20">
        <v>0</v>
      </c>
      <c r="X32" s="20">
        <v>0</v>
      </c>
      <c r="Y32" s="20">
        <v>0</v>
      </c>
      <c r="Z32" s="20">
        <v>0</v>
      </c>
      <c r="AA32" s="20">
        <v>0</v>
      </c>
      <c r="AB32" s="20">
        <v>0</v>
      </c>
      <c r="AC32" s="20">
        <v>0</v>
      </c>
      <c r="AD32" s="20">
        <v>0</v>
      </c>
      <c r="AE32" s="22">
        <f t="shared" si="3"/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</row>
    <row r="33" spans="1:31" ht="12.7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3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6"/>
    </row>
    <row r="35" spans="1:31" ht="12.75" x14ac:dyDescent="0.2">
      <c r="C35" s="1" t="s">
        <v>25</v>
      </c>
      <c r="F35" s="1" t="s">
        <v>0</v>
      </c>
    </row>
    <row r="36" spans="1:31" ht="12.75" x14ac:dyDescent="0.2">
      <c r="A36" s="1" t="s">
        <v>50</v>
      </c>
      <c r="C36" s="1" t="s">
        <v>51</v>
      </c>
      <c r="D36" s="1" t="s">
        <v>52</v>
      </c>
      <c r="E36" s="11" t="s">
        <v>123</v>
      </c>
      <c r="F36" s="1" t="s">
        <v>53</v>
      </c>
      <c r="G36" s="1" t="s">
        <v>54</v>
      </c>
      <c r="H36" s="1" t="s">
        <v>55</v>
      </c>
      <c r="I36" s="1" t="s">
        <v>56</v>
      </c>
      <c r="J36" s="1" t="s">
        <v>20</v>
      </c>
    </row>
    <row r="37" spans="1:31" s="10" customFormat="1" ht="12.75" x14ac:dyDescent="0.2">
      <c r="A37" s="8" t="str">
        <f t="shared" ref="A37:B48" si="4">A4</f>
        <v>JACQUET</v>
      </c>
      <c r="B37" s="8" t="str">
        <f t="shared" si="4"/>
        <v>Dylan</v>
      </c>
      <c r="C37" s="9">
        <f>O21</f>
        <v>12.5</v>
      </c>
      <c r="D37" s="9">
        <f>AE21</f>
        <v>3</v>
      </c>
      <c r="E37" s="9">
        <f>AK21</f>
        <v>0</v>
      </c>
      <c r="F37" s="9">
        <f>SUM(C4:H4)</f>
        <v>3</v>
      </c>
      <c r="G37" s="9">
        <f t="shared" ref="G37" si="5">SUM(I4:V4)</f>
        <v>14</v>
      </c>
      <c r="H37" s="9">
        <f>SUM(W4:AL4)</f>
        <v>1.5</v>
      </c>
      <c r="I37" s="9">
        <f>SUM(AM4:AT4)</f>
        <v>2.5</v>
      </c>
      <c r="J37" s="9">
        <f>SUM(C37:I37)</f>
        <v>36.5</v>
      </c>
    </row>
    <row r="38" spans="1:31" s="10" customFormat="1" ht="12.75" x14ac:dyDescent="0.2">
      <c r="A38" s="8" t="str">
        <f t="shared" si="4"/>
        <v>VAN MEERBERGEN</v>
      </c>
      <c r="B38" s="8" t="str">
        <f t="shared" si="4"/>
        <v>Renaud</v>
      </c>
      <c r="C38" s="9">
        <f t="shared" ref="C38:C48" si="6">O22</f>
        <v>14</v>
      </c>
      <c r="D38" s="9">
        <f t="shared" ref="D38:D48" si="7">AE22</f>
        <v>3</v>
      </c>
      <c r="E38" s="9">
        <f>AK22</f>
        <v>0</v>
      </c>
      <c r="F38" s="9">
        <f>SUM(C5:H5)</f>
        <v>5.5</v>
      </c>
      <c r="G38" s="9">
        <f>SUM(I5:V5)</f>
        <v>10</v>
      </c>
      <c r="H38" s="9">
        <f>SUM(W5:AL5)</f>
        <v>1</v>
      </c>
      <c r="I38" s="9">
        <f>SUM(AM5:AT5)</f>
        <v>0</v>
      </c>
      <c r="J38" s="9">
        <f t="shared" ref="J38:J48" si="8">SUM(C38:I38)</f>
        <v>33.5</v>
      </c>
    </row>
    <row r="39" spans="1:31" s="10" customFormat="1" ht="12.75" x14ac:dyDescent="0.2">
      <c r="A39" s="8" t="str">
        <f t="shared" si="4"/>
        <v>CADRANEL</v>
      </c>
      <c r="B39" s="8" t="str">
        <f t="shared" si="4"/>
        <v>Kael</v>
      </c>
      <c r="C39" s="9">
        <f t="shared" si="6"/>
        <v>5.5</v>
      </c>
      <c r="D39" s="9">
        <f t="shared" si="7"/>
        <v>2</v>
      </c>
      <c r="E39" s="9">
        <f t="shared" ref="E39:E48" si="9">AK23</f>
        <v>0</v>
      </c>
      <c r="F39" s="9">
        <f t="shared" ref="F39:F48" si="10">SUM(C6:H6)</f>
        <v>2</v>
      </c>
      <c r="G39" s="9">
        <f t="shared" ref="G39:G48" si="11">SUM(I6:V6)</f>
        <v>12</v>
      </c>
      <c r="H39" s="9">
        <f t="shared" ref="H39:H47" si="12">SUM(W6:AL6)</f>
        <v>3</v>
      </c>
      <c r="I39" s="9">
        <f t="shared" ref="I39:I48" si="13">SUM(AM6:AT6)</f>
        <v>4</v>
      </c>
      <c r="J39" s="9">
        <f t="shared" si="8"/>
        <v>28.5</v>
      </c>
    </row>
    <row r="40" spans="1:31" s="10" customFormat="1" ht="12.75" x14ac:dyDescent="0.2">
      <c r="A40" s="8" t="str">
        <f t="shared" si="4"/>
        <v>COLLEYE</v>
      </c>
      <c r="B40" s="8" t="str">
        <f t="shared" si="4"/>
        <v>Emilie</v>
      </c>
      <c r="C40" s="9">
        <f t="shared" si="6"/>
        <v>0</v>
      </c>
      <c r="D40" s="9">
        <f t="shared" si="7"/>
        <v>0</v>
      </c>
      <c r="E40" s="9">
        <f t="shared" si="9"/>
        <v>0</v>
      </c>
      <c r="F40" s="9">
        <f t="shared" si="10"/>
        <v>4</v>
      </c>
      <c r="G40" s="9">
        <f t="shared" si="11"/>
        <v>8</v>
      </c>
      <c r="H40" s="9">
        <f t="shared" si="12"/>
        <v>8</v>
      </c>
      <c r="I40" s="9">
        <f t="shared" si="13"/>
        <v>2.5</v>
      </c>
      <c r="J40" s="9">
        <f t="shared" si="8"/>
        <v>22.5</v>
      </c>
    </row>
    <row r="41" spans="1:31" s="10" customFormat="1" ht="12.75" x14ac:dyDescent="0.2">
      <c r="A41" s="8" t="str">
        <f t="shared" si="4"/>
        <v>LEPAGE</v>
      </c>
      <c r="B41" s="8" t="str">
        <f t="shared" si="4"/>
        <v>Hugo</v>
      </c>
      <c r="C41" s="9">
        <f t="shared" si="6"/>
        <v>3</v>
      </c>
      <c r="D41" s="9">
        <f t="shared" si="7"/>
        <v>0</v>
      </c>
      <c r="E41" s="9">
        <f t="shared" si="9"/>
        <v>0</v>
      </c>
      <c r="F41" s="9">
        <f t="shared" si="10"/>
        <v>3.5</v>
      </c>
      <c r="G41" s="9">
        <f t="shared" si="11"/>
        <v>4.5</v>
      </c>
      <c r="H41" s="9">
        <f t="shared" si="12"/>
        <v>2</v>
      </c>
      <c r="I41" s="9">
        <f t="shared" si="13"/>
        <v>1</v>
      </c>
      <c r="J41" s="9">
        <f t="shared" si="8"/>
        <v>14</v>
      </c>
    </row>
    <row r="42" spans="1:31" s="10" customFormat="1" ht="12.75" x14ac:dyDescent="0.2">
      <c r="A42" s="8" t="str">
        <f t="shared" si="4"/>
        <v>SENGA-VITA</v>
      </c>
      <c r="B42" s="8" t="str">
        <f t="shared" si="4"/>
        <v>Blanchar</v>
      </c>
      <c r="C42" s="9">
        <f t="shared" si="6"/>
        <v>5.5</v>
      </c>
      <c r="D42" s="9">
        <f t="shared" si="7"/>
        <v>2</v>
      </c>
      <c r="E42" s="9">
        <f t="shared" si="9"/>
        <v>0</v>
      </c>
      <c r="F42" s="9">
        <f t="shared" si="10"/>
        <v>3.5</v>
      </c>
      <c r="G42" s="9">
        <f t="shared" si="11"/>
        <v>8</v>
      </c>
      <c r="H42" s="9">
        <f>SUM(W9:AL9)</f>
        <v>5</v>
      </c>
      <c r="I42" s="9">
        <f t="shared" si="13"/>
        <v>2.5</v>
      </c>
      <c r="J42" s="9">
        <f t="shared" si="8"/>
        <v>26.5</v>
      </c>
    </row>
    <row r="43" spans="1:31" s="10" customFormat="1" ht="12.75" x14ac:dyDescent="0.2">
      <c r="A43" s="8" t="str">
        <f t="shared" si="4"/>
        <v>VINCENT</v>
      </c>
      <c r="B43" s="8" t="str">
        <f t="shared" si="4"/>
        <v>Justin</v>
      </c>
      <c r="C43" s="9">
        <f t="shared" si="6"/>
        <v>0</v>
      </c>
      <c r="D43" s="9">
        <f t="shared" si="7"/>
        <v>0</v>
      </c>
      <c r="E43" s="9">
        <f t="shared" si="9"/>
        <v>0</v>
      </c>
      <c r="F43" s="9">
        <f t="shared" si="10"/>
        <v>3</v>
      </c>
      <c r="G43" s="9">
        <f t="shared" si="11"/>
        <v>10</v>
      </c>
      <c r="H43" s="9">
        <f t="shared" si="12"/>
        <v>0</v>
      </c>
      <c r="I43" s="9">
        <f t="shared" si="13"/>
        <v>6</v>
      </c>
      <c r="J43" s="9">
        <f t="shared" si="8"/>
        <v>19</v>
      </c>
    </row>
    <row r="44" spans="1:31" s="10" customFormat="1" ht="12.75" x14ac:dyDescent="0.2">
      <c r="A44" s="8" t="str">
        <f t="shared" si="4"/>
        <v>WILLEMS</v>
      </c>
      <c r="B44" s="8" t="str">
        <f t="shared" si="4"/>
        <v>Edouard</v>
      </c>
      <c r="C44" s="9">
        <f t="shared" si="6"/>
        <v>5</v>
      </c>
      <c r="D44" s="9">
        <f t="shared" si="7"/>
        <v>0</v>
      </c>
      <c r="E44" s="9">
        <f t="shared" si="9"/>
        <v>0</v>
      </c>
      <c r="F44" s="9">
        <f t="shared" si="10"/>
        <v>3</v>
      </c>
      <c r="G44" s="9">
        <f>SUM(I11:V11)</f>
        <v>6</v>
      </c>
      <c r="H44" s="9">
        <f t="shared" si="12"/>
        <v>3.5</v>
      </c>
      <c r="I44" s="9">
        <f t="shared" si="13"/>
        <v>1</v>
      </c>
      <c r="J44" s="9">
        <f t="shared" si="8"/>
        <v>18.5</v>
      </c>
    </row>
    <row r="45" spans="1:31" s="10" customFormat="1" ht="12.75" x14ac:dyDescent="0.2">
      <c r="A45" s="8" t="str">
        <f t="shared" si="4"/>
        <v>MEUNIER</v>
      </c>
      <c r="B45" s="8" t="str">
        <f t="shared" si="4"/>
        <v>Sacha</v>
      </c>
      <c r="C45" s="9">
        <f t="shared" si="6"/>
        <v>0</v>
      </c>
      <c r="D45" s="9">
        <f t="shared" si="7"/>
        <v>0</v>
      </c>
      <c r="E45" s="9">
        <f t="shared" si="9"/>
        <v>0</v>
      </c>
      <c r="F45" s="9">
        <f t="shared" si="10"/>
        <v>0</v>
      </c>
      <c r="G45" s="9">
        <f t="shared" si="11"/>
        <v>0</v>
      </c>
      <c r="H45" s="9">
        <f t="shared" si="12"/>
        <v>0</v>
      </c>
      <c r="I45" s="9">
        <f t="shared" si="13"/>
        <v>0</v>
      </c>
      <c r="J45" s="9">
        <f t="shared" si="8"/>
        <v>0</v>
      </c>
    </row>
    <row r="46" spans="1:31" s="10" customFormat="1" ht="15.75" customHeight="1" x14ac:dyDescent="0.2">
      <c r="A46" s="8" t="str">
        <f t="shared" si="4"/>
        <v>FORTIN</v>
      </c>
      <c r="B46" s="8" t="str">
        <f t="shared" si="4"/>
        <v>Nathan</v>
      </c>
      <c r="C46" s="9">
        <f t="shared" si="6"/>
        <v>0</v>
      </c>
      <c r="D46" s="9">
        <f t="shared" si="7"/>
        <v>0</v>
      </c>
      <c r="E46" s="9">
        <f t="shared" si="9"/>
        <v>0</v>
      </c>
      <c r="F46" s="9">
        <f t="shared" si="10"/>
        <v>4</v>
      </c>
      <c r="G46" s="9">
        <f t="shared" si="11"/>
        <v>4</v>
      </c>
      <c r="H46" s="9">
        <f t="shared" si="12"/>
        <v>2</v>
      </c>
      <c r="I46" s="9">
        <f t="shared" si="13"/>
        <v>0</v>
      </c>
      <c r="J46" s="9">
        <f t="shared" si="8"/>
        <v>10</v>
      </c>
    </row>
    <row r="47" spans="1:31" s="10" customFormat="1" ht="15.75" customHeight="1" x14ac:dyDescent="0.2">
      <c r="A47" s="8" t="str">
        <f t="shared" si="4"/>
        <v>MAREE</v>
      </c>
      <c r="B47" s="8" t="str">
        <f t="shared" si="4"/>
        <v>Bruno</v>
      </c>
      <c r="C47" s="9">
        <f t="shared" si="6"/>
        <v>0</v>
      </c>
      <c r="D47" s="9">
        <f t="shared" si="7"/>
        <v>0</v>
      </c>
      <c r="E47" s="9">
        <f t="shared" si="9"/>
        <v>0</v>
      </c>
      <c r="F47" s="9">
        <f t="shared" si="10"/>
        <v>4</v>
      </c>
      <c r="G47" s="9">
        <f t="shared" si="11"/>
        <v>5</v>
      </c>
      <c r="H47" s="9">
        <f t="shared" si="12"/>
        <v>0</v>
      </c>
      <c r="I47" s="9">
        <f t="shared" si="13"/>
        <v>0</v>
      </c>
      <c r="J47" s="9">
        <f t="shared" si="8"/>
        <v>9</v>
      </c>
    </row>
    <row r="48" spans="1:31" s="10" customFormat="1" ht="15.75" customHeight="1" x14ac:dyDescent="0.2">
      <c r="A48" s="8" t="str">
        <f t="shared" si="4"/>
        <v>NGANDU</v>
      </c>
      <c r="B48" s="8" t="str">
        <f t="shared" si="4"/>
        <v>Raphaël</v>
      </c>
      <c r="C48" s="9">
        <f t="shared" si="6"/>
        <v>0</v>
      </c>
      <c r="D48" s="9">
        <f t="shared" si="7"/>
        <v>0</v>
      </c>
      <c r="E48" s="9">
        <f t="shared" si="9"/>
        <v>0</v>
      </c>
      <c r="F48" s="9">
        <f t="shared" si="10"/>
        <v>0</v>
      </c>
      <c r="G48" s="9">
        <f t="shared" si="11"/>
        <v>0</v>
      </c>
      <c r="H48" s="9">
        <f>SUM(W15:AL15)</f>
        <v>0</v>
      </c>
      <c r="I48" s="9">
        <f t="shared" si="13"/>
        <v>0</v>
      </c>
      <c r="J48" s="9">
        <f t="shared" si="8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U48"/>
  <sheetViews>
    <sheetView tabSelected="1" zoomScaleNormal="100" workbookViewId="0">
      <pane xSplit="1" topLeftCell="B1" activePane="topRight" state="frozen"/>
      <selection pane="topRight" activeCell="M26" sqref="M26"/>
    </sheetView>
  </sheetViews>
  <sheetFormatPr baseColWidth="10" defaultColWidth="14.42578125" defaultRowHeight="15.75" customHeight="1" x14ac:dyDescent="0.2"/>
  <cols>
    <col min="1" max="1" width="13.28515625" customWidth="1"/>
  </cols>
  <sheetData>
    <row r="1" spans="1:47" ht="12.75" x14ac:dyDescent="0.2">
      <c r="A1" s="1"/>
      <c r="B1" s="1"/>
      <c r="C1" s="7" t="s">
        <v>0</v>
      </c>
      <c r="D1" s="4">
        <v>44</v>
      </c>
    </row>
    <row r="2" spans="1:47" ht="12.75" x14ac:dyDescent="0.2">
      <c r="A2" s="1" t="s">
        <v>1</v>
      </c>
      <c r="B2" s="1"/>
      <c r="C2" s="1" t="s">
        <v>2</v>
      </c>
      <c r="D2" s="1" t="s">
        <v>2</v>
      </c>
      <c r="E2" s="1" t="s">
        <v>3</v>
      </c>
      <c r="F2" s="1" t="s">
        <v>3</v>
      </c>
      <c r="G2" s="1" t="s">
        <v>75</v>
      </c>
      <c r="H2" s="1" t="s">
        <v>75</v>
      </c>
      <c r="I2" s="1" t="s">
        <v>4</v>
      </c>
      <c r="J2" s="1" t="s">
        <v>4</v>
      </c>
      <c r="K2" s="1" t="s">
        <v>5</v>
      </c>
      <c r="L2" s="1" t="s">
        <v>5</v>
      </c>
      <c r="M2" s="1" t="s">
        <v>6</v>
      </c>
      <c r="N2" s="1" t="s">
        <v>6</v>
      </c>
      <c r="O2" s="1" t="s">
        <v>7</v>
      </c>
      <c r="P2" s="1" t="s">
        <v>7</v>
      </c>
      <c r="Q2" s="1" t="s">
        <v>8</v>
      </c>
      <c r="R2" s="1" t="s">
        <v>8</v>
      </c>
      <c r="S2" s="1" t="s">
        <v>57</v>
      </c>
      <c r="T2" s="1" t="s">
        <v>57</v>
      </c>
      <c r="U2" s="1" t="s">
        <v>58</v>
      </c>
      <c r="V2" s="1" t="s">
        <v>58</v>
      </c>
      <c r="W2" s="1" t="s">
        <v>9</v>
      </c>
      <c r="X2" s="1" t="s">
        <v>9</v>
      </c>
      <c r="Y2" s="1" t="s">
        <v>10</v>
      </c>
      <c r="Z2" s="1" t="s">
        <v>10</v>
      </c>
      <c r="AA2" s="1" t="s">
        <v>11</v>
      </c>
      <c r="AB2" s="1" t="s">
        <v>11</v>
      </c>
      <c r="AC2" s="1" t="s">
        <v>12</v>
      </c>
      <c r="AD2" s="1" t="s">
        <v>12</v>
      </c>
      <c r="AE2" s="1" t="s">
        <v>13</v>
      </c>
      <c r="AF2" s="1" t="s">
        <v>13</v>
      </c>
      <c r="AG2" s="1" t="s">
        <v>14</v>
      </c>
      <c r="AH2" s="1" t="s">
        <v>14</v>
      </c>
      <c r="AI2" s="1" t="s">
        <v>15</v>
      </c>
      <c r="AJ2" s="1" t="s">
        <v>15</v>
      </c>
      <c r="AK2" s="1" t="s">
        <v>59</v>
      </c>
      <c r="AL2" s="1" t="s">
        <v>59</v>
      </c>
      <c r="AM2" s="1" t="s">
        <v>16</v>
      </c>
      <c r="AN2" s="1" t="s">
        <v>16</v>
      </c>
      <c r="AO2" s="1" t="s">
        <v>17</v>
      </c>
      <c r="AP2" s="1" t="s">
        <v>17</v>
      </c>
      <c r="AQ2" s="1" t="s">
        <v>18</v>
      </c>
      <c r="AR2" s="1" t="s">
        <v>18</v>
      </c>
      <c r="AS2" s="1" t="s">
        <v>19</v>
      </c>
      <c r="AT2" s="1" t="s">
        <v>19</v>
      </c>
      <c r="AU2" s="1" t="s">
        <v>20</v>
      </c>
    </row>
    <row r="3" spans="1:47" ht="12.75" x14ac:dyDescent="0.2">
      <c r="A3" s="1" t="s">
        <v>21</v>
      </c>
      <c r="B3" s="1" t="s">
        <v>22</v>
      </c>
      <c r="C3" s="1" t="s">
        <v>24</v>
      </c>
      <c r="D3" s="1" t="s">
        <v>25</v>
      </c>
      <c r="E3" s="1" t="s">
        <v>170</v>
      </c>
      <c r="F3" s="1" t="s">
        <v>171</v>
      </c>
      <c r="G3" s="1" t="s">
        <v>172</v>
      </c>
      <c r="H3" s="1" t="s">
        <v>173</v>
      </c>
      <c r="I3" s="1" t="s">
        <v>26</v>
      </c>
      <c r="J3" s="1" t="s">
        <v>27</v>
      </c>
      <c r="K3" s="1" t="s">
        <v>29</v>
      </c>
      <c r="L3" s="1" t="s">
        <v>28</v>
      </c>
      <c r="M3" s="1" t="s">
        <v>76</v>
      </c>
      <c r="N3" s="1" t="s">
        <v>77</v>
      </c>
      <c r="O3" s="1" t="s">
        <v>78</v>
      </c>
      <c r="P3" s="1" t="s">
        <v>79</v>
      </c>
      <c r="Q3" s="1" t="s">
        <v>80</v>
      </c>
      <c r="R3" s="1" t="s">
        <v>81</v>
      </c>
      <c r="S3" s="1" t="s">
        <v>82</v>
      </c>
      <c r="T3" s="1" t="s">
        <v>83</v>
      </c>
      <c r="U3" s="1" t="s">
        <v>84</v>
      </c>
      <c r="V3" s="1" t="s">
        <v>85</v>
      </c>
      <c r="W3" s="1" t="s">
        <v>25</v>
      </c>
      <c r="X3" s="1" t="s">
        <v>30</v>
      </c>
      <c r="Y3" s="1" t="s">
        <v>86</v>
      </c>
      <c r="Z3" s="1" t="s">
        <v>87</v>
      </c>
      <c r="AA3" s="1" t="s">
        <v>88</v>
      </c>
      <c r="AB3" s="1" t="s">
        <v>89</v>
      </c>
      <c r="AC3" s="1" t="s">
        <v>90</v>
      </c>
      <c r="AD3" s="1" t="s">
        <v>91</v>
      </c>
      <c r="AE3" s="1" t="s">
        <v>92</v>
      </c>
      <c r="AF3" s="1" t="s">
        <v>93</v>
      </c>
      <c r="AG3" s="1" t="s">
        <v>94</v>
      </c>
      <c r="AH3" s="1" t="s">
        <v>95</v>
      </c>
      <c r="AI3" s="1" t="s">
        <v>96</v>
      </c>
      <c r="AJ3" s="1" t="s">
        <v>97</v>
      </c>
      <c r="AK3" s="1" t="s">
        <v>98</v>
      </c>
      <c r="AL3" s="1" t="s">
        <v>99</v>
      </c>
      <c r="AM3" s="1" t="s">
        <v>23</v>
      </c>
      <c r="AN3" s="1" t="s">
        <v>100</v>
      </c>
      <c r="AO3" s="1" t="s">
        <v>101</v>
      </c>
      <c r="AP3" s="1" t="s">
        <v>102</v>
      </c>
      <c r="AQ3" s="1" t="s">
        <v>103</v>
      </c>
      <c r="AR3" s="1" t="s">
        <v>104</v>
      </c>
      <c r="AS3" s="1" t="s">
        <v>105</v>
      </c>
      <c r="AT3" s="1" t="s">
        <v>106</v>
      </c>
      <c r="AU3" s="1"/>
    </row>
    <row r="4" spans="1:47" s="21" customFormat="1" ht="12.75" x14ac:dyDescent="0.2">
      <c r="A4" s="30" t="s">
        <v>127</v>
      </c>
      <c r="B4" s="30" t="s">
        <v>126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</v>
      </c>
      <c r="T4" s="20">
        <v>0</v>
      </c>
      <c r="U4" s="20">
        <v>0</v>
      </c>
      <c r="V4" s="20">
        <v>0</v>
      </c>
      <c r="W4" s="20">
        <v>0</v>
      </c>
      <c r="X4" s="20">
        <v>0</v>
      </c>
      <c r="Y4" s="20">
        <v>0</v>
      </c>
      <c r="Z4" s="20">
        <v>0</v>
      </c>
      <c r="AA4" s="20">
        <v>0</v>
      </c>
      <c r="AB4" s="20">
        <v>0</v>
      </c>
      <c r="AC4" s="20">
        <v>0</v>
      </c>
      <c r="AD4" s="20">
        <v>0</v>
      </c>
      <c r="AE4" s="20">
        <v>0</v>
      </c>
      <c r="AF4" s="20">
        <v>0</v>
      </c>
      <c r="AG4" s="20">
        <v>0</v>
      </c>
      <c r="AH4" s="20">
        <v>0</v>
      </c>
      <c r="AI4" s="20">
        <v>0</v>
      </c>
      <c r="AJ4" s="20">
        <v>0</v>
      </c>
      <c r="AK4" s="20">
        <v>0</v>
      </c>
      <c r="AL4" s="20">
        <v>0</v>
      </c>
      <c r="AM4" s="20">
        <v>0</v>
      </c>
      <c r="AN4" s="20">
        <v>0</v>
      </c>
      <c r="AO4" s="20">
        <v>0</v>
      </c>
      <c r="AP4" s="20">
        <v>0</v>
      </c>
      <c r="AQ4" s="20">
        <v>0</v>
      </c>
      <c r="AR4" s="20">
        <v>0</v>
      </c>
      <c r="AS4" s="20">
        <v>0</v>
      </c>
      <c r="AT4" s="20">
        <v>0</v>
      </c>
      <c r="AU4" s="20">
        <f>SUM(C4:AT4)</f>
        <v>0</v>
      </c>
    </row>
    <row r="5" spans="1:47" s="26" customFormat="1" ht="12.75" x14ac:dyDescent="0.2">
      <c r="A5" s="24" t="s">
        <v>128</v>
      </c>
      <c r="B5" s="24" t="s">
        <v>62</v>
      </c>
      <c r="C5" s="25">
        <v>0</v>
      </c>
      <c r="D5" s="25">
        <v>0</v>
      </c>
      <c r="E5" s="25">
        <v>1</v>
      </c>
      <c r="F5" s="25">
        <v>0</v>
      </c>
      <c r="G5" s="25">
        <v>1</v>
      </c>
      <c r="H5" s="25">
        <v>0</v>
      </c>
      <c r="I5" s="25">
        <v>0</v>
      </c>
      <c r="J5" s="25">
        <v>0</v>
      </c>
      <c r="K5" s="25">
        <v>1</v>
      </c>
      <c r="L5" s="25">
        <v>0</v>
      </c>
      <c r="M5" s="25">
        <v>1</v>
      </c>
      <c r="N5" s="25">
        <v>1</v>
      </c>
      <c r="O5" s="25">
        <v>1</v>
      </c>
      <c r="P5" s="25">
        <v>1</v>
      </c>
      <c r="Q5" s="25">
        <v>0</v>
      </c>
      <c r="R5" s="25">
        <v>0</v>
      </c>
      <c r="S5" s="25">
        <v>1</v>
      </c>
      <c r="T5" s="25">
        <v>1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1</v>
      </c>
      <c r="AB5" s="25">
        <v>1</v>
      </c>
      <c r="AC5" s="25">
        <v>1</v>
      </c>
      <c r="AD5" s="25">
        <v>0</v>
      </c>
      <c r="AE5" s="25">
        <v>0</v>
      </c>
      <c r="AF5" s="25">
        <v>0</v>
      </c>
      <c r="AG5" s="25">
        <v>0</v>
      </c>
      <c r="AH5" s="25">
        <v>0</v>
      </c>
      <c r="AI5" s="25">
        <v>0</v>
      </c>
      <c r="AJ5" s="25">
        <v>0</v>
      </c>
      <c r="AK5" s="25">
        <v>1</v>
      </c>
      <c r="AL5" s="25">
        <v>0.5</v>
      </c>
      <c r="AM5" s="25">
        <v>0</v>
      </c>
      <c r="AN5" s="25">
        <v>0</v>
      </c>
      <c r="AO5" s="25">
        <v>0</v>
      </c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f t="shared" ref="AU5:AU15" si="0">SUM(C5:AT5)</f>
        <v>13.5</v>
      </c>
    </row>
    <row r="6" spans="1:47" s="26" customFormat="1" ht="12.75" x14ac:dyDescent="0.2">
      <c r="A6" s="24" t="s">
        <v>129</v>
      </c>
      <c r="B6" s="24" t="s">
        <v>130</v>
      </c>
      <c r="C6" s="25">
        <v>0</v>
      </c>
      <c r="D6" s="25">
        <v>0</v>
      </c>
      <c r="E6" s="25">
        <v>0</v>
      </c>
      <c r="F6" s="25">
        <v>0</v>
      </c>
      <c r="G6" s="25">
        <v>1</v>
      </c>
      <c r="H6" s="25">
        <v>0</v>
      </c>
      <c r="I6" s="25">
        <v>0</v>
      </c>
      <c r="J6" s="25">
        <v>0.5</v>
      </c>
      <c r="K6" s="25">
        <v>0</v>
      </c>
      <c r="L6" s="25">
        <v>0</v>
      </c>
      <c r="M6" s="25">
        <v>0</v>
      </c>
      <c r="N6" s="25">
        <v>1</v>
      </c>
      <c r="O6" s="25">
        <v>1</v>
      </c>
      <c r="P6" s="25">
        <v>0</v>
      </c>
      <c r="Q6" s="25">
        <v>0</v>
      </c>
      <c r="R6" s="25">
        <v>0</v>
      </c>
      <c r="S6" s="25">
        <v>0</v>
      </c>
      <c r="T6" s="25">
        <v>0</v>
      </c>
      <c r="U6" s="25">
        <v>0</v>
      </c>
      <c r="V6" s="25">
        <v>0</v>
      </c>
      <c r="W6" s="25">
        <v>1</v>
      </c>
      <c r="X6" s="25">
        <v>1</v>
      </c>
      <c r="Y6" s="25">
        <v>0</v>
      </c>
      <c r="Z6" s="25">
        <v>0</v>
      </c>
      <c r="AA6" s="25">
        <v>1</v>
      </c>
      <c r="AB6" s="25">
        <v>1</v>
      </c>
      <c r="AC6" s="25">
        <v>1</v>
      </c>
      <c r="AD6" s="25">
        <v>0</v>
      </c>
      <c r="AE6" s="25">
        <v>0</v>
      </c>
      <c r="AF6" s="25">
        <v>0</v>
      </c>
      <c r="AG6" s="25">
        <v>0</v>
      </c>
      <c r="AH6" s="25">
        <v>0</v>
      </c>
      <c r="AI6" s="25">
        <v>0</v>
      </c>
      <c r="AJ6" s="25">
        <v>0</v>
      </c>
      <c r="AK6" s="25">
        <v>1</v>
      </c>
      <c r="AL6" s="25">
        <v>1</v>
      </c>
      <c r="AM6" s="25">
        <v>0</v>
      </c>
      <c r="AN6" s="25">
        <v>0</v>
      </c>
      <c r="AO6" s="25">
        <v>0</v>
      </c>
      <c r="AP6" s="25">
        <v>0</v>
      </c>
      <c r="AQ6" s="25">
        <v>0</v>
      </c>
      <c r="AR6" s="25">
        <v>0</v>
      </c>
      <c r="AS6" s="25">
        <v>1</v>
      </c>
      <c r="AT6" s="25">
        <v>0</v>
      </c>
      <c r="AU6" s="25">
        <f t="shared" si="0"/>
        <v>11.5</v>
      </c>
    </row>
    <row r="7" spans="1:47" s="26" customFormat="1" ht="12.75" x14ac:dyDescent="0.2">
      <c r="A7" s="24" t="s">
        <v>131</v>
      </c>
      <c r="B7" s="24" t="s">
        <v>70</v>
      </c>
      <c r="C7" s="25">
        <v>0</v>
      </c>
      <c r="D7" s="25">
        <v>0</v>
      </c>
      <c r="E7" s="25">
        <v>0</v>
      </c>
      <c r="F7" s="25">
        <v>0</v>
      </c>
      <c r="G7" s="25">
        <v>1</v>
      </c>
      <c r="H7" s="25">
        <v>0</v>
      </c>
      <c r="I7" s="25">
        <v>0</v>
      </c>
      <c r="J7" s="25">
        <v>0.5</v>
      </c>
      <c r="K7" s="25">
        <v>0</v>
      </c>
      <c r="L7" s="25">
        <v>0</v>
      </c>
      <c r="M7" s="25">
        <v>0</v>
      </c>
      <c r="N7" s="25">
        <v>0</v>
      </c>
      <c r="O7" s="25">
        <v>1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5">
        <v>0</v>
      </c>
      <c r="AI7" s="25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5">
        <v>0</v>
      </c>
      <c r="AQ7" s="25">
        <v>0</v>
      </c>
      <c r="AR7" s="25">
        <v>0</v>
      </c>
      <c r="AS7" s="25">
        <v>0</v>
      </c>
      <c r="AT7" s="25">
        <v>0</v>
      </c>
      <c r="AU7" s="25">
        <f t="shared" si="0"/>
        <v>2.5</v>
      </c>
    </row>
    <row r="8" spans="1:47" s="26" customFormat="1" ht="12.75" x14ac:dyDescent="0.2">
      <c r="A8" s="24" t="s">
        <v>132</v>
      </c>
      <c r="B8" s="24" t="s">
        <v>133</v>
      </c>
      <c r="C8" s="25">
        <v>0</v>
      </c>
      <c r="D8" s="25">
        <v>0</v>
      </c>
      <c r="E8" s="25">
        <v>1</v>
      </c>
      <c r="F8" s="25">
        <v>1</v>
      </c>
      <c r="G8" s="25">
        <v>1</v>
      </c>
      <c r="H8" s="25">
        <v>1</v>
      </c>
      <c r="I8" s="25">
        <v>0.5</v>
      </c>
      <c r="J8" s="25">
        <v>0.5</v>
      </c>
      <c r="K8" s="25">
        <v>0</v>
      </c>
      <c r="L8" s="25">
        <v>0</v>
      </c>
      <c r="M8" s="25">
        <v>1</v>
      </c>
      <c r="N8" s="25">
        <v>1</v>
      </c>
      <c r="O8" s="25">
        <v>1</v>
      </c>
      <c r="P8" s="25">
        <v>1</v>
      </c>
      <c r="Q8" s="25">
        <v>0</v>
      </c>
      <c r="R8" s="25">
        <v>0</v>
      </c>
      <c r="S8" s="25">
        <v>1</v>
      </c>
      <c r="T8" s="25">
        <v>1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5">
        <v>0</v>
      </c>
      <c r="AA8" s="25">
        <v>1</v>
      </c>
      <c r="AB8" s="25">
        <v>1</v>
      </c>
      <c r="AC8" s="25">
        <v>1</v>
      </c>
      <c r="AD8" s="25">
        <v>1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1</v>
      </c>
      <c r="AT8" s="25">
        <v>1</v>
      </c>
      <c r="AU8" s="25">
        <f t="shared" si="0"/>
        <v>17</v>
      </c>
    </row>
    <row r="9" spans="1:47" s="26" customFormat="1" ht="15.75" customHeight="1" x14ac:dyDescent="0.2">
      <c r="A9" s="24" t="s">
        <v>134</v>
      </c>
      <c r="B9" s="24" t="s">
        <v>135</v>
      </c>
      <c r="C9" s="25">
        <v>0</v>
      </c>
      <c r="D9" s="25">
        <v>0</v>
      </c>
      <c r="E9" s="25">
        <v>1</v>
      </c>
      <c r="F9" s="25">
        <v>1</v>
      </c>
      <c r="G9" s="25">
        <v>1</v>
      </c>
      <c r="H9" s="25">
        <v>1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0</v>
      </c>
      <c r="U9" s="25">
        <v>0</v>
      </c>
      <c r="V9" s="25">
        <v>0</v>
      </c>
      <c r="W9" s="25">
        <v>1</v>
      </c>
      <c r="X9" s="25">
        <v>0</v>
      </c>
      <c r="Y9" s="25">
        <v>0</v>
      </c>
      <c r="Z9" s="25">
        <v>0</v>
      </c>
      <c r="AA9" s="25">
        <v>1</v>
      </c>
      <c r="AB9" s="25">
        <v>1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5">
        <v>0</v>
      </c>
      <c r="AQ9" s="25">
        <v>0</v>
      </c>
      <c r="AR9" s="25">
        <v>0</v>
      </c>
      <c r="AS9" s="25">
        <v>0.5</v>
      </c>
      <c r="AT9" s="25">
        <v>0.5</v>
      </c>
      <c r="AU9" s="25">
        <f t="shared" si="0"/>
        <v>8</v>
      </c>
    </row>
    <row r="10" spans="1:47" s="26" customFormat="1" ht="12.75" x14ac:dyDescent="0.2">
      <c r="A10" s="24" t="s">
        <v>136</v>
      </c>
      <c r="B10" s="24" t="s">
        <v>63</v>
      </c>
      <c r="C10" s="25">
        <v>0.5</v>
      </c>
      <c r="D10" s="25">
        <v>0.5</v>
      </c>
      <c r="E10" s="25">
        <v>1</v>
      </c>
      <c r="F10" s="25">
        <v>1</v>
      </c>
      <c r="G10" s="25">
        <v>0</v>
      </c>
      <c r="H10" s="25">
        <v>1</v>
      </c>
      <c r="I10" s="25">
        <v>0.5</v>
      </c>
      <c r="J10" s="25">
        <v>0.5</v>
      </c>
      <c r="K10" s="25">
        <v>0.5</v>
      </c>
      <c r="L10" s="25">
        <v>0.5</v>
      </c>
      <c r="M10" s="25">
        <v>1</v>
      </c>
      <c r="N10" s="25">
        <v>1</v>
      </c>
      <c r="O10" s="25">
        <v>1</v>
      </c>
      <c r="P10" s="25">
        <v>1</v>
      </c>
      <c r="Q10" s="25">
        <v>1</v>
      </c>
      <c r="R10" s="25">
        <v>1</v>
      </c>
      <c r="S10" s="25">
        <v>1</v>
      </c>
      <c r="T10" s="25">
        <v>1</v>
      </c>
      <c r="U10" s="25">
        <v>1</v>
      </c>
      <c r="V10" s="25">
        <v>0.5</v>
      </c>
      <c r="W10" s="25">
        <v>1</v>
      </c>
      <c r="X10" s="25">
        <v>1</v>
      </c>
      <c r="Y10" s="25">
        <v>1</v>
      </c>
      <c r="Z10" s="25">
        <v>0.5</v>
      </c>
      <c r="AA10" s="25">
        <v>0.5</v>
      </c>
      <c r="AB10" s="25">
        <v>0.5</v>
      </c>
      <c r="AC10" s="25">
        <v>0.5</v>
      </c>
      <c r="AD10" s="25">
        <v>0.5</v>
      </c>
      <c r="AE10" s="25">
        <v>0</v>
      </c>
      <c r="AF10" s="25">
        <v>0</v>
      </c>
      <c r="AG10" s="25">
        <v>0</v>
      </c>
      <c r="AH10" s="25">
        <v>0</v>
      </c>
      <c r="AI10" s="25">
        <v>0</v>
      </c>
      <c r="AJ10" s="25">
        <v>0</v>
      </c>
      <c r="AK10" s="25">
        <v>1</v>
      </c>
      <c r="AL10" s="25">
        <v>1</v>
      </c>
      <c r="AM10" s="25">
        <v>0</v>
      </c>
      <c r="AN10" s="25">
        <v>0</v>
      </c>
      <c r="AO10" s="25">
        <v>0</v>
      </c>
      <c r="AP10" s="25">
        <v>0</v>
      </c>
      <c r="AQ10" s="25">
        <v>0</v>
      </c>
      <c r="AR10" s="25">
        <v>0</v>
      </c>
      <c r="AS10" s="25">
        <v>0</v>
      </c>
      <c r="AT10" s="25">
        <v>0</v>
      </c>
      <c r="AU10" s="25">
        <f t="shared" si="0"/>
        <v>23</v>
      </c>
    </row>
    <row r="11" spans="1:47" s="21" customFormat="1" ht="12.75" x14ac:dyDescent="0.2">
      <c r="A11" s="28" t="s">
        <v>165</v>
      </c>
      <c r="B11" s="29" t="s">
        <v>166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>
        <v>0</v>
      </c>
      <c r="R11" s="20">
        <v>0</v>
      </c>
      <c r="S11" s="20">
        <v>0</v>
      </c>
      <c r="T11" s="20">
        <v>0</v>
      </c>
      <c r="U11" s="20">
        <v>0</v>
      </c>
      <c r="V11" s="20">
        <v>0</v>
      </c>
      <c r="W11" s="20">
        <v>0</v>
      </c>
      <c r="X11" s="20">
        <v>0</v>
      </c>
      <c r="Y11" s="20">
        <v>0</v>
      </c>
      <c r="Z11" s="20">
        <v>0</v>
      </c>
      <c r="AA11" s="20">
        <v>0</v>
      </c>
      <c r="AB11" s="20">
        <v>0</v>
      </c>
      <c r="AC11" s="20">
        <v>0</v>
      </c>
      <c r="AD11" s="20">
        <v>0</v>
      </c>
      <c r="AE11" s="20">
        <v>0</v>
      </c>
      <c r="AF11" s="20">
        <v>0</v>
      </c>
      <c r="AG11" s="20">
        <v>0</v>
      </c>
      <c r="AH11" s="20">
        <v>0</v>
      </c>
      <c r="AI11" s="20">
        <v>0</v>
      </c>
      <c r="AJ11" s="20">
        <v>0</v>
      </c>
      <c r="AK11" s="20">
        <v>0</v>
      </c>
      <c r="AL11" s="20">
        <v>0</v>
      </c>
      <c r="AM11" s="20">
        <v>0</v>
      </c>
      <c r="AN11" s="20">
        <v>0</v>
      </c>
      <c r="AO11" s="20">
        <v>0</v>
      </c>
      <c r="AP11" s="20">
        <v>0</v>
      </c>
      <c r="AQ11" s="20">
        <v>0</v>
      </c>
      <c r="AR11" s="20">
        <v>0</v>
      </c>
      <c r="AS11" s="20">
        <v>0</v>
      </c>
      <c r="AT11" s="20">
        <v>0</v>
      </c>
      <c r="AU11" s="20">
        <f t="shared" si="0"/>
        <v>0</v>
      </c>
    </row>
    <row r="12" spans="1:47" s="21" customFormat="1" ht="12.75" x14ac:dyDescent="0.2">
      <c r="A12" s="29" t="s">
        <v>167</v>
      </c>
      <c r="B12" s="29" t="s">
        <v>168</v>
      </c>
      <c r="C12" s="20">
        <v>0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>
        <v>0</v>
      </c>
      <c r="R12" s="20">
        <v>0</v>
      </c>
      <c r="S12" s="20">
        <v>0</v>
      </c>
      <c r="T12" s="20">
        <v>0</v>
      </c>
      <c r="U12" s="20">
        <v>0</v>
      </c>
      <c r="V12" s="20">
        <v>0</v>
      </c>
      <c r="W12" s="20">
        <v>0</v>
      </c>
      <c r="X12" s="20">
        <v>0</v>
      </c>
      <c r="Y12" s="20">
        <v>0</v>
      </c>
      <c r="Z12" s="20">
        <v>0</v>
      </c>
      <c r="AA12" s="20">
        <v>0</v>
      </c>
      <c r="AB12" s="20">
        <v>0</v>
      </c>
      <c r="AC12" s="20">
        <v>0</v>
      </c>
      <c r="AD12" s="20">
        <v>0</v>
      </c>
      <c r="AE12" s="20">
        <v>0</v>
      </c>
      <c r="AF12" s="20">
        <v>0</v>
      </c>
      <c r="AG12" s="20">
        <v>0</v>
      </c>
      <c r="AH12" s="20">
        <v>0</v>
      </c>
      <c r="AI12" s="20">
        <v>0</v>
      </c>
      <c r="AJ12" s="20">
        <v>0</v>
      </c>
      <c r="AK12" s="20">
        <v>0</v>
      </c>
      <c r="AL12" s="20">
        <v>0</v>
      </c>
      <c r="AM12" s="20">
        <v>0</v>
      </c>
      <c r="AN12" s="20">
        <v>0</v>
      </c>
      <c r="AO12" s="20">
        <v>0</v>
      </c>
      <c r="AP12" s="20">
        <v>0</v>
      </c>
      <c r="AQ12" s="20">
        <v>0</v>
      </c>
      <c r="AR12" s="20">
        <v>0</v>
      </c>
      <c r="AS12" s="20">
        <v>0</v>
      </c>
      <c r="AT12" s="20">
        <v>0</v>
      </c>
      <c r="AU12" s="20">
        <f t="shared" si="0"/>
        <v>0</v>
      </c>
    </row>
    <row r="13" spans="1:47" s="10" customFormat="1" ht="12.75" x14ac:dyDescent="0.2">
      <c r="A13" s="13"/>
      <c r="B13" s="13"/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0</v>
      </c>
      <c r="AT13" s="8">
        <v>0</v>
      </c>
      <c r="AU13" s="8">
        <f t="shared" si="0"/>
        <v>0</v>
      </c>
    </row>
    <row r="14" spans="1:47" s="10" customFormat="1" ht="12.75" x14ac:dyDescent="0.2">
      <c r="A14" s="13"/>
      <c r="B14" s="13"/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>
        <v>0</v>
      </c>
      <c r="AQ14" s="8">
        <v>0</v>
      </c>
      <c r="AR14" s="8">
        <v>0</v>
      </c>
      <c r="AS14" s="8">
        <v>0</v>
      </c>
      <c r="AT14" s="8">
        <v>0</v>
      </c>
      <c r="AU14" s="8">
        <f t="shared" si="0"/>
        <v>0</v>
      </c>
    </row>
    <row r="15" spans="1:47" s="10" customFormat="1" ht="12.75" x14ac:dyDescent="0.2">
      <c r="A15" s="13"/>
      <c r="B15" s="13"/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I15" s="8">
        <v>0</v>
      </c>
      <c r="AJ15" s="8">
        <v>0</v>
      </c>
      <c r="AK15" s="8">
        <v>0</v>
      </c>
      <c r="AL15" s="8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8">
        <v>0</v>
      </c>
      <c r="AT15" s="8">
        <v>0</v>
      </c>
      <c r="AU15" s="8">
        <f t="shared" si="0"/>
        <v>0</v>
      </c>
    </row>
    <row r="16" spans="1:47" ht="12.75" x14ac:dyDescent="0.2">
      <c r="A16" s="1"/>
      <c r="B16" s="1"/>
      <c r="C16" s="1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5"/>
    </row>
    <row r="17" spans="1:47" ht="12.75" x14ac:dyDescent="0.2">
      <c r="A17" s="1"/>
      <c r="B17" s="1"/>
      <c r="C17" s="1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5"/>
    </row>
    <row r="18" spans="1:47" ht="12.75" x14ac:dyDescent="0.2">
      <c r="A18" s="7" t="s">
        <v>32</v>
      </c>
      <c r="C18" s="7" t="s">
        <v>33</v>
      </c>
      <c r="D18" s="6">
        <f>O20</f>
        <v>22</v>
      </c>
      <c r="N18" s="1"/>
      <c r="P18" s="7" t="s">
        <v>35</v>
      </c>
      <c r="Q18" s="6">
        <f>AE20</f>
        <v>25</v>
      </c>
      <c r="AF18" s="12" t="s">
        <v>114</v>
      </c>
      <c r="AG18" s="4">
        <f>AK20</f>
        <v>9</v>
      </c>
    </row>
    <row r="19" spans="1:47" ht="12.75" x14ac:dyDescent="0.2">
      <c r="C19" s="1" t="s">
        <v>37</v>
      </c>
      <c r="D19" s="1" t="s">
        <v>38</v>
      </c>
      <c r="E19" s="1" t="s">
        <v>39</v>
      </c>
      <c r="F19" s="1" t="s">
        <v>40</v>
      </c>
      <c r="G19" s="11" t="s">
        <v>120</v>
      </c>
      <c r="H19" s="1" t="s">
        <v>41</v>
      </c>
      <c r="I19" s="11" t="s">
        <v>119</v>
      </c>
      <c r="J19" s="1" t="s">
        <v>42</v>
      </c>
      <c r="K19" s="1" t="s">
        <v>107</v>
      </c>
      <c r="L19" s="1" t="s">
        <v>61</v>
      </c>
      <c r="M19" s="1" t="s">
        <v>43</v>
      </c>
      <c r="N19" s="11" t="s">
        <v>121</v>
      </c>
      <c r="O19" s="1" t="s">
        <v>34</v>
      </c>
      <c r="P19" s="1" t="s">
        <v>87</v>
      </c>
      <c r="Q19" s="1" t="s">
        <v>108</v>
      </c>
      <c r="R19" s="1" t="s">
        <v>109</v>
      </c>
      <c r="S19" s="1" t="s">
        <v>110</v>
      </c>
      <c r="T19" s="11" t="s">
        <v>111</v>
      </c>
      <c r="U19" s="11" t="s">
        <v>112</v>
      </c>
      <c r="V19" s="11" t="s">
        <v>113</v>
      </c>
      <c r="W19" s="1" t="s">
        <v>44</v>
      </c>
      <c r="X19" s="1" t="s">
        <v>26</v>
      </c>
      <c r="Y19" s="1" t="s">
        <v>45</v>
      </c>
      <c r="Z19" s="1" t="s">
        <v>46</v>
      </c>
      <c r="AA19" s="1" t="s">
        <v>60</v>
      </c>
      <c r="AB19" s="1" t="s">
        <v>47</v>
      </c>
      <c r="AC19" s="1" t="s">
        <v>48</v>
      </c>
      <c r="AD19" s="1" t="s">
        <v>49</v>
      </c>
      <c r="AE19" s="1" t="s">
        <v>36</v>
      </c>
      <c r="AF19" s="11" t="s">
        <v>115</v>
      </c>
      <c r="AG19" s="11" t="s">
        <v>116</v>
      </c>
      <c r="AH19" s="11" t="s">
        <v>117</v>
      </c>
      <c r="AI19" s="11" t="s">
        <v>118</v>
      </c>
      <c r="AJ19" s="11" t="s">
        <v>122</v>
      </c>
      <c r="AK19" s="1" t="s">
        <v>36</v>
      </c>
    </row>
    <row r="20" spans="1:47" s="4" customFormat="1" ht="12.75" x14ac:dyDescent="0.2">
      <c r="C20" s="5">
        <v>2</v>
      </c>
      <c r="D20" s="5">
        <v>2</v>
      </c>
      <c r="E20" s="5">
        <v>2</v>
      </c>
      <c r="F20" s="5">
        <v>1</v>
      </c>
      <c r="G20" s="5">
        <v>1</v>
      </c>
      <c r="H20" s="5">
        <v>1</v>
      </c>
      <c r="I20" s="5">
        <v>2</v>
      </c>
      <c r="J20" s="5">
        <v>6</v>
      </c>
      <c r="K20" s="5">
        <v>1</v>
      </c>
      <c r="L20" s="5">
        <v>1</v>
      </c>
      <c r="M20" s="5">
        <v>1</v>
      </c>
      <c r="N20" s="5">
        <v>2</v>
      </c>
      <c r="O20" s="5">
        <f>SUM(C20:N20)</f>
        <v>22</v>
      </c>
      <c r="P20" s="5">
        <v>2</v>
      </c>
      <c r="Q20" s="5">
        <v>2</v>
      </c>
      <c r="R20" s="5">
        <v>2</v>
      </c>
      <c r="S20" s="5">
        <v>2</v>
      </c>
      <c r="T20" s="5">
        <v>2</v>
      </c>
      <c r="U20" s="5">
        <v>2</v>
      </c>
      <c r="V20" s="5">
        <v>2</v>
      </c>
      <c r="W20" s="5">
        <v>3</v>
      </c>
      <c r="X20" s="5">
        <v>2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4">
        <f>SUM(P20:AD20)</f>
        <v>25</v>
      </c>
      <c r="AF20" s="4">
        <v>1</v>
      </c>
      <c r="AG20" s="4">
        <v>2</v>
      </c>
      <c r="AH20" s="4">
        <v>2</v>
      </c>
      <c r="AI20" s="4">
        <v>1</v>
      </c>
      <c r="AJ20" s="4">
        <v>3</v>
      </c>
      <c r="AK20" s="4">
        <f>SUM(AF20:AJ20)</f>
        <v>9</v>
      </c>
    </row>
    <row r="21" spans="1:47" s="21" customFormat="1" ht="12.75" x14ac:dyDescent="0.2">
      <c r="A21" s="20" t="str">
        <f>A4</f>
        <v>COPPÉE</v>
      </c>
      <c r="B21" s="20" t="str">
        <f>B4</f>
        <v>Aurelien</v>
      </c>
      <c r="C21" s="20">
        <v>0</v>
      </c>
      <c r="D21" s="20">
        <v>0</v>
      </c>
      <c r="E21" s="20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20">
        <v>0</v>
      </c>
      <c r="O21" s="20">
        <f t="shared" ref="O21:O32" si="1">SUM(C21:N21)</f>
        <v>0</v>
      </c>
      <c r="P21" s="20">
        <v>0</v>
      </c>
      <c r="Q21" s="20">
        <v>0</v>
      </c>
      <c r="R21" s="20">
        <v>0</v>
      </c>
      <c r="S21" s="20">
        <v>0</v>
      </c>
      <c r="T21" s="20">
        <v>0</v>
      </c>
      <c r="U21" s="20">
        <v>0</v>
      </c>
      <c r="V21" s="20">
        <v>0</v>
      </c>
      <c r="W21" s="20">
        <v>0</v>
      </c>
      <c r="X21" s="20">
        <v>0</v>
      </c>
      <c r="Y21" s="20">
        <v>0</v>
      </c>
      <c r="Z21" s="20">
        <v>0</v>
      </c>
      <c r="AA21" s="20">
        <v>0</v>
      </c>
      <c r="AB21" s="20">
        <v>0</v>
      </c>
      <c r="AC21" s="20">
        <v>0</v>
      </c>
      <c r="AD21" s="20">
        <v>0</v>
      </c>
      <c r="AE21" s="22">
        <f t="shared" ref="AE21:AE32" si="2">SUM(P21:AD21)</f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</row>
    <row r="22" spans="1:47" s="26" customFormat="1" ht="12.75" x14ac:dyDescent="0.2">
      <c r="A22" s="25" t="str">
        <f>A5</f>
        <v>PATUREAU</v>
      </c>
      <c r="B22" s="25" t="str">
        <f>B5</f>
        <v>Bastien</v>
      </c>
      <c r="C22" s="25">
        <v>1</v>
      </c>
      <c r="D22" s="25">
        <v>1</v>
      </c>
      <c r="E22" s="25">
        <v>1</v>
      </c>
      <c r="F22" s="25">
        <v>1</v>
      </c>
      <c r="G22" s="25">
        <v>1</v>
      </c>
      <c r="H22" s="25">
        <v>0</v>
      </c>
      <c r="I22" s="25">
        <v>1</v>
      </c>
      <c r="J22" s="25">
        <v>6</v>
      </c>
      <c r="K22" s="25">
        <v>1</v>
      </c>
      <c r="L22" s="25">
        <v>0</v>
      </c>
      <c r="M22" s="25">
        <v>0</v>
      </c>
      <c r="N22" s="25">
        <v>0</v>
      </c>
      <c r="O22" s="25">
        <f t="shared" si="1"/>
        <v>13</v>
      </c>
      <c r="P22" s="25">
        <v>1</v>
      </c>
      <c r="Q22" s="25">
        <v>2</v>
      </c>
      <c r="R22" s="25">
        <v>2</v>
      </c>
      <c r="S22" s="25">
        <v>0</v>
      </c>
      <c r="T22" s="25">
        <v>0</v>
      </c>
      <c r="U22" s="25">
        <v>2</v>
      </c>
      <c r="V22" s="25">
        <v>0</v>
      </c>
      <c r="W22" s="25">
        <v>0</v>
      </c>
      <c r="X22" s="25">
        <v>1</v>
      </c>
      <c r="Y22" s="25">
        <v>1</v>
      </c>
      <c r="Z22" s="25">
        <v>0</v>
      </c>
      <c r="AA22" s="25">
        <v>1</v>
      </c>
      <c r="AB22" s="25">
        <v>1</v>
      </c>
      <c r="AC22" s="25">
        <v>0</v>
      </c>
      <c r="AD22" s="25">
        <v>1</v>
      </c>
      <c r="AE22" s="27">
        <f t="shared" si="2"/>
        <v>12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</row>
    <row r="23" spans="1:47" s="26" customFormat="1" ht="12.75" x14ac:dyDescent="0.2">
      <c r="A23" s="25" t="str">
        <f t="shared" ref="A23:B32" si="3">A6</f>
        <v>DEMARET</v>
      </c>
      <c r="B23" s="25" t="str">
        <f t="shared" si="3"/>
        <v>Antoine</v>
      </c>
      <c r="C23" s="25">
        <v>0</v>
      </c>
      <c r="D23" s="25">
        <v>0</v>
      </c>
      <c r="E23" s="25">
        <v>0</v>
      </c>
      <c r="F23" s="25">
        <v>1</v>
      </c>
      <c r="G23" s="25">
        <v>1</v>
      </c>
      <c r="H23" s="25">
        <v>1</v>
      </c>
      <c r="I23" s="25">
        <v>0</v>
      </c>
      <c r="J23" s="25">
        <v>0</v>
      </c>
      <c r="K23" s="25">
        <v>0</v>
      </c>
      <c r="L23" s="25">
        <v>0</v>
      </c>
      <c r="M23" s="25">
        <v>0</v>
      </c>
      <c r="N23" s="25">
        <v>0</v>
      </c>
      <c r="O23" s="25">
        <f t="shared" si="1"/>
        <v>3</v>
      </c>
      <c r="P23" s="25">
        <v>0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0</v>
      </c>
      <c r="W23" s="25">
        <v>0</v>
      </c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7">
        <f t="shared" si="2"/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7" s="26" customFormat="1" ht="12.75" x14ac:dyDescent="0.2">
      <c r="A24" s="25" t="str">
        <f t="shared" si="3"/>
        <v>DUBOIS</v>
      </c>
      <c r="B24" s="25" t="str">
        <f t="shared" si="3"/>
        <v>Caroline</v>
      </c>
      <c r="C24" s="25">
        <v>0</v>
      </c>
      <c r="D24" s="25">
        <v>0</v>
      </c>
      <c r="E24" s="25">
        <v>0</v>
      </c>
      <c r="F24" s="25">
        <v>1</v>
      </c>
      <c r="G24" s="25">
        <v>1</v>
      </c>
      <c r="H24" s="25">
        <v>0</v>
      </c>
      <c r="I24" s="25">
        <v>0</v>
      </c>
      <c r="J24" s="25">
        <v>4</v>
      </c>
      <c r="K24" s="25">
        <v>0</v>
      </c>
      <c r="L24" s="25">
        <v>0</v>
      </c>
      <c r="M24" s="25">
        <v>0</v>
      </c>
      <c r="N24" s="25">
        <v>0</v>
      </c>
      <c r="O24" s="25">
        <f t="shared" si="1"/>
        <v>6</v>
      </c>
      <c r="P24" s="25"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0</v>
      </c>
      <c r="W24" s="25">
        <v>0</v>
      </c>
      <c r="X24" s="25">
        <v>1</v>
      </c>
      <c r="Y24" s="25">
        <v>1</v>
      </c>
      <c r="Z24" s="25">
        <v>0</v>
      </c>
      <c r="AA24" s="25">
        <v>1</v>
      </c>
      <c r="AB24" s="25">
        <v>1</v>
      </c>
      <c r="AC24" s="25">
        <v>0</v>
      </c>
      <c r="AD24" s="25">
        <v>0</v>
      </c>
      <c r="AE24" s="27">
        <f t="shared" si="2"/>
        <v>5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</row>
    <row r="25" spans="1:47" s="26" customFormat="1" ht="12.75" x14ac:dyDescent="0.2">
      <c r="A25" s="25" t="str">
        <f t="shared" si="3"/>
        <v>NYSSENS</v>
      </c>
      <c r="B25" s="25" t="str">
        <f t="shared" si="3"/>
        <v>Élisabeth</v>
      </c>
      <c r="C25" s="25">
        <v>1</v>
      </c>
      <c r="D25" s="25">
        <v>2</v>
      </c>
      <c r="E25" s="25">
        <v>2</v>
      </c>
      <c r="F25" s="25">
        <v>1</v>
      </c>
      <c r="G25" s="25">
        <v>1</v>
      </c>
      <c r="H25" s="25">
        <v>1</v>
      </c>
      <c r="I25" s="25">
        <v>0</v>
      </c>
      <c r="J25" s="25">
        <v>6</v>
      </c>
      <c r="K25" s="25">
        <v>1</v>
      </c>
      <c r="L25" s="25">
        <v>0.5</v>
      </c>
      <c r="M25" s="25">
        <v>1</v>
      </c>
      <c r="N25" s="25">
        <v>0</v>
      </c>
      <c r="O25" s="25">
        <f t="shared" si="1"/>
        <v>16.5</v>
      </c>
      <c r="P25" s="25">
        <v>0.5</v>
      </c>
      <c r="Q25" s="25">
        <v>0</v>
      </c>
      <c r="R25" s="25">
        <v>0</v>
      </c>
      <c r="S25" s="25">
        <v>0</v>
      </c>
      <c r="T25" s="25">
        <v>0</v>
      </c>
      <c r="U25" s="25">
        <v>0</v>
      </c>
      <c r="V25" s="25">
        <v>0</v>
      </c>
      <c r="W25" s="25">
        <v>1</v>
      </c>
      <c r="X25" s="25">
        <v>1</v>
      </c>
      <c r="Y25" s="25">
        <v>1</v>
      </c>
      <c r="Z25" s="25">
        <v>0</v>
      </c>
      <c r="AA25" s="25">
        <v>1</v>
      </c>
      <c r="AB25" s="25">
        <v>1</v>
      </c>
      <c r="AC25" s="25">
        <v>0</v>
      </c>
      <c r="AD25" s="25">
        <v>0</v>
      </c>
      <c r="AE25" s="27">
        <f t="shared" si="2"/>
        <v>5.5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</row>
    <row r="26" spans="1:47" s="26" customFormat="1" ht="12.75" x14ac:dyDescent="0.2">
      <c r="A26" s="25" t="str">
        <f t="shared" si="3"/>
        <v>STEVAUX</v>
      </c>
      <c r="B26" s="25" t="str">
        <f t="shared" si="3"/>
        <v>Loïc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5">
        <v>0</v>
      </c>
      <c r="M26" s="25">
        <v>0</v>
      </c>
      <c r="N26" s="25">
        <v>0</v>
      </c>
      <c r="O26" s="25">
        <f t="shared" si="1"/>
        <v>0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7">
        <f t="shared" si="2"/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</row>
    <row r="27" spans="1:47" s="26" customFormat="1" ht="12.75" x14ac:dyDescent="0.2">
      <c r="A27" s="25" t="str">
        <f t="shared" si="3"/>
        <v>JACQMIN</v>
      </c>
      <c r="B27" s="25" t="str">
        <f t="shared" si="3"/>
        <v>Lua</v>
      </c>
      <c r="C27" s="25">
        <v>0</v>
      </c>
      <c r="D27" s="25">
        <v>2</v>
      </c>
      <c r="E27" s="25">
        <v>2</v>
      </c>
      <c r="F27" s="25">
        <v>1</v>
      </c>
      <c r="G27" s="25">
        <v>1</v>
      </c>
      <c r="H27" s="25">
        <v>1</v>
      </c>
      <c r="I27" s="25">
        <v>2</v>
      </c>
      <c r="J27" s="25">
        <v>5</v>
      </c>
      <c r="K27" s="25">
        <v>1</v>
      </c>
      <c r="L27" s="25">
        <v>0</v>
      </c>
      <c r="M27" s="25">
        <v>1</v>
      </c>
      <c r="N27" s="25">
        <v>0</v>
      </c>
      <c r="O27" s="25">
        <f t="shared" si="1"/>
        <v>16</v>
      </c>
      <c r="P27" s="25">
        <v>1</v>
      </c>
      <c r="Q27" s="25">
        <v>2</v>
      </c>
      <c r="R27" s="25">
        <v>2</v>
      </c>
      <c r="S27" s="25">
        <v>2</v>
      </c>
      <c r="T27" s="25">
        <v>2</v>
      </c>
      <c r="U27" s="25">
        <v>2</v>
      </c>
      <c r="V27" s="25">
        <v>0</v>
      </c>
      <c r="W27" s="25">
        <v>2</v>
      </c>
      <c r="X27" s="25">
        <v>1</v>
      </c>
      <c r="Y27" s="25">
        <v>1</v>
      </c>
      <c r="Z27" s="25">
        <v>0</v>
      </c>
      <c r="AA27" s="25">
        <v>1</v>
      </c>
      <c r="AB27" s="25">
        <v>1</v>
      </c>
      <c r="AC27" s="25">
        <v>0</v>
      </c>
      <c r="AD27" s="25">
        <v>1</v>
      </c>
      <c r="AE27" s="27">
        <f t="shared" si="2"/>
        <v>18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</row>
    <row r="28" spans="1:47" s="21" customFormat="1" ht="12.75" x14ac:dyDescent="0.2">
      <c r="A28" s="20" t="str">
        <f t="shared" si="3"/>
        <v>PIRLOT</v>
      </c>
      <c r="B28" s="20" t="str">
        <f t="shared" si="3"/>
        <v>Audrey</v>
      </c>
      <c r="C28" s="20">
        <v>0</v>
      </c>
      <c r="D28" s="20">
        <v>0</v>
      </c>
      <c r="E28" s="20">
        <v>0</v>
      </c>
      <c r="F28" s="20">
        <v>0</v>
      </c>
      <c r="G28" s="20">
        <v>0</v>
      </c>
      <c r="H28" s="20">
        <v>0</v>
      </c>
      <c r="I28" s="20">
        <v>0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f t="shared" si="1"/>
        <v>0</v>
      </c>
      <c r="P28" s="20">
        <v>0</v>
      </c>
      <c r="Q28" s="20">
        <v>0</v>
      </c>
      <c r="R28" s="20">
        <v>0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0</v>
      </c>
      <c r="AA28" s="20">
        <v>0</v>
      </c>
      <c r="AB28" s="20">
        <v>0</v>
      </c>
      <c r="AC28" s="20">
        <v>0</v>
      </c>
      <c r="AD28" s="20">
        <v>0</v>
      </c>
      <c r="AE28" s="22">
        <f t="shared" si="2"/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</row>
    <row r="29" spans="1:47" s="21" customFormat="1" ht="12.75" x14ac:dyDescent="0.2">
      <c r="A29" s="20" t="str">
        <f t="shared" si="3"/>
        <v>HOUIOUX</v>
      </c>
      <c r="B29" s="20" t="str">
        <f t="shared" si="3"/>
        <v>Guillaume</v>
      </c>
      <c r="C29" s="20">
        <v>0</v>
      </c>
      <c r="D29" s="20">
        <v>0</v>
      </c>
      <c r="E29" s="20">
        <v>0</v>
      </c>
      <c r="F29" s="20">
        <v>0</v>
      </c>
      <c r="G29" s="20">
        <v>0</v>
      </c>
      <c r="H29" s="20">
        <v>0</v>
      </c>
      <c r="I29" s="20">
        <v>0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f t="shared" si="1"/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  <c r="AD29" s="20">
        <v>0</v>
      </c>
      <c r="AE29" s="22">
        <f t="shared" si="2"/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</row>
    <row r="30" spans="1:47" s="10" customFormat="1" ht="12.75" x14ac:dyDescent="0.2">
      <c r="A30" s="8">
        <f t="shared" si="3"/>
        <v>0</v>
      </c>
      <c r="B30" s="8">
        <f t="shared" si="3"/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f t="shared" si="1"/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9">
        <f t="shared" si="2"/>
        <v>0</v>
      </c>
      <c r="AF30" s="10">
        <v>0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</row>
    <row r="31" spans="1:47" s="10" customFormat="1" ht="12.75" x14ac:dyDescent="0.2">
      <c r="A31" s="8">
        <f t="shared" si="3"/>
        <v>0</v>
      </c>
      <c r="B31" s="8">
        <f t="shared" si="3"/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f t="shared" si="1"/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9">
        <f t="shared" si="2"/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</row>
    <row r="32" spans="1:47" s="10" customFormat="1" ht="12.75" x14ac:dyDescent="0.2">
      <c r="A32" s="8">
        <f t="shared" si="3"/>
        <v>0</v>
      </c>
      <c r="B32" s="8">
        <f t="shared" si="3"/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f t="shared" si="1"/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9">
        <f t="shared" si="2"/>
        <v>0</v>
      </c>
      <c r="AF32" s="10">
        <v>0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</row>
    <row r="33" spans="1:31" ht="12.7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3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6"/>
    </row>
    <row r="35" spans="1:31" ht="12.75" x14ac:dyDescent="0.2">
      <c r="C35" s="1" t="s">
        <v>25</v>
      </c>
      <c r="F35" s="1" t="s">
        <v>0</v>
      </c>
    </row>
    <row r="36" spans="1:31" ht="12.75" x14ac:dyDescent="0.2">
      <c r="A36" s="1" t="s">
        <v>50</v>
      </c>
      <c r="C36" s="1" t="s">
        <v>51</v>
      </c>
      <c r="D36" s="1" t="s">
        <v>52</v>
      </c>
      <c r="E36" s="11" t="s">
        <v>123</v>
      </c>
      <c r="F36" s="1" t="s">
        <v>53</v>
      </c>
      <c r="G36" s="1" t="s">
        <v>54</v>
      </c>
      <c r="H36" s="1" t="s">
        <v>55</v>
      </c>
      <c r="I36" s="1" t="s">
        <v>56</v>
      </c>
      <c r="J36" s="1" t="s">
        <v>20</v>
      </c>
    </row>
    <row r="37" spans="1:31" s="10" customFormat="1" ht="12.75" x14ac:dyDescent="0.2">
      <c r="A37" s="8" t="str">
        <f>A4</f>
        <v>COPPÉE</v>
      </c>
      <c r="B37" s="8" t="str">
        <f>B4</f>
        <v>Aurelien</v>
      </c>
      <c r="C37" s="9">
        <f>O21</f>
        <v>0</v>
      </c>
      <c r="D37" s="9">
        <f>AE21</f>
        <v>0</v>
      </c>
      <c r="E37" s="9">
        <f>AK21</f>
        <v>0</v>
      </c>
      <c r="F37" s="9">
        <f>SUM(C4:H4)</f>
        <v>0</v>
      </c>
      <c r="G37" s="9">
        <f>SUM(I4:V4)</f>
        <v>0</v>
      </c>
      <c r="H37" s="9">
        <f>SUM(W4:AL4)</f>
        <v>0</v>
      </c>
      <c r="I37" s="9">
        <f>SUM(AM4:AT4)</f>
        <v>0</v>
      </c>
      <c r="J37" s="9">
        <f t="shared" ref="J37:J48" si="4">SUM(C37:I37)</f>
        <v>0</v>
      </c>
    </row>
    <row r="38" spans="1:31" s="10" customFormat="1" ht="12.75" x14ac:dyDescent="0.2">
      <c r="A38" s="8" t="str">
        <f t="shared" ref="A38:B48" si="5">A5</f>
        <v>PATUREAU</v>
      </c>
      <c r="B38" s="8" t="str">
        <f t="shared" si="5"/>
        <v>Bastien</v>
      </c>
      <c r="C38" s="9">
        <f t="shared" ref="C38:C41" si="6">O22</f>
        <v>13</v>
      </c>
      <c r="D38" s="9">
        <f t="shared" ref="D38:D41" si="7">AE22</f>
        <v>12</v>
      </c>
      <c r="E38" s="9">
        <f t="shared" ref="E38:E41" si="8">AK22</f>
        <v>0</v>
      </c>
      <c r="F38" s="9">
        <f t="shared" ref="F38:F41" si="9">SUM(C5:H5)</f>
        <v>2</v>
      </c>
      <c r="G38" s="9">
        <f t="shared" ref="G38:G41" si="10">SUM(I5:V5)</f>
        <v>7</v>
      </c>
      <c r="H38" s="9">
        <f t="shared" ref="H38:H41" si="11">SUM(W5:AL5)</f>
        <v>4.5</v>
      </c>
      <c r="I38" s="9">
        <f t="shared" ref="I38:I41" si="12">SUM(AM5:AT5)</f>
        <v>0</v>
      </c>
      <c r="J38" s="9">
        <f t="shared" si="4"/>
        <v>38.5</v>
      </c>
    </row>
    <row r="39" spans="1:31" s="10" customFormat="1" ht="12.75" x14ac:dyDescent="0.2">
      <c r="A39" s="8" t="str">
        <f t="shared" si="5"/>
        <v>DEMARET</v>
      </c>
      <c r="B39" s="8" t="str">
        <f t="shared" si="5"/>
        <v>Antoine</v>
      </c>
      <c r="C39" s="9">
        <f t="shared" si="6"/>
        <v>3</v>
      </c>
      <c r="D39" s="9">
        <f t="shared" si="7"/>
        <v>0</v>
      </c>
      <c r="E39" s="9">
        <f t="shared" si="8"/>
        <v>0</v>
      </c>
      <c r="F39" s="9">
        <f t="shared" si="9"/>
        <v>1</v>
      </c>
      <c r="G39" s="9">
        <f t="shared" si="10"/>
        <v>2.5</v>
      </c>
      <c r="H39" s="9">
        <f t="shared" si="11"/>
        <v>7</v>
      </c>
      <c r="I39" s="9">
        <f t="shared" si="12"/>
        <v>1</v>
      </c>
      <c r="J39" s="9">
        <f t="shared" si="4"/>
        <v>14.5</v>
      </c>
    </row>
    <row r="40" spans="1:31" s="10" customFormat="1" ht="12.75" x14ac:dyDescent="0.2">
      <c r="A40" s="8" t="str">
        <f t="shared" si="5"/>
        <v>DUBOIS</v>
      </c>
      <c r="B40" s="8" t="str">
        <f t="shared" si="5"/>
        <v>Caroline</v>
      </c>
      <c r="C40" s="9">
        <f t="shared" si="6"/>
        <v>6</v>
      </c>
      <c r="D40" s="9">
        <f t="shared" si="7"/>
        <v>5</v>
      </c>
      <c r="E40" s="9">
        <f t="shared" si="8"/>
        <v>0</v>
      </c>
      <c r="F40" s="9">
        <f t="shared" si="9"/>
        <v>1</v>
      </c>
      <c r="G40" s="9">
        <f t="shared" si="10"/>
        <v>1.5</v>
      </c>
      <c r="H40" s="9">
        <f t="shared" si="11"/>
        <v>0</v>
      </c>
      <c r="I40" s="9">
        <f t="shared" si="12"/>
        <v>0</v>
      </c>
      <c r="J40" s="9">
        <f t="shared" si="4"/>
        <v>13.5</v>
      </c>
    </row>
    <row r="41" spans="1:31" s="10" customFormat="1" ht="12.75" x14ac:dyDescent="0.2">
      <c r="A41" s="8" t="str">
        <f t="shared" si="5"/>
        <v>NYSSENS</v>
      </c>
      <c r="B41" s="8" t="str">
        <f t="shared" si="5"/>
        <v>Élisabeth</v>
      </c>
      <c r="C41" s="9">
        <f t="shared" si="6"/>
        <v>16.5</v>
      </c>
      <c r="D41" s="9">
        <f t="shared" si="7"/>
        <v>5.5</v>
      </c>
      <c r="E41" s="9">
        <f t="shared" si="8"/>
        <v>0</v>
      </c>
      <c r="F41" s="9">
        <f t="shared" si="9"/>
        <v>4</v>
      </c>
      <c r="G41" s="9">
        <f t="shared" si="10"/>
        <v>7</v>
      </c>
      <c r="H41" s="9">
        <f t="shared" si="11"/>
        <v>4</v>
      </c>
      <c r="I41" s="9">
        <f t="shared" si="12"/>
        <v>2</v>
      </c>
      <c r="J41" s="9">
        <f t="shared" si="4"/>
        <v>39</v>
      </c>
    </row>
    <row r="42" spans="1:31" s="10" customFormat="1" ht="12.75" x14ac:dyDescent="0.2">
      <c r="A42" s="8" t="str">
        <f t="shared" si="5"/>
        <v>STEVAUX</v>
      </c>
      <c r="B42" s="8" t="str">
        <f t="shared" si="5"/>
        <v>Loïc</v>
      </c>
      <c r="C42" s="9">
        <f t="shared" ref="C42:C48" si="13">O26</f>
        <v>0</v>
      </c>
      <c r="D42" s="9">
        <f t="shared" ref="D42:D48" si="14">AE26</f>
        <v>0</v>
      </c>
      <c r="E42" s="9">
        <f t="shared" ref="E42:E48" si="15">AK26</f>
        <v>0</v>
      </c>
      <c r="F42" s="9">
        <f>SUM(C9:H9)</f>
        <v>4</v>
      </c>
      <c r="G42" s="9">
        <f>SUM(I9:V9)</f>
        <v>0</v>
      </c>
      <c r="H42" s="9">
        <f>SUM(W9:AL9)</f>
        <v>3</v>
      </c>
      <c r="I42" s="9">
        <f>SUM(AM9:AT9)</f>
        <v>1</v>
      </c>
      <c r="J42" s="9">
        <f t="shared" si="4"/>
        <v>8</v>
      </c>
    </row>
    <row r="43" spans="1:31" s="10" customFormat="1" ht="12.75" x14ac:dyDescent="0.2">
      <c r="A43" s="8" t="str">
        <f t="shared" si="5"/>
        <v>JACQMIN</v>
      </c>
      <c r="B43" s="8" t="str">
        <f t="shared" si="5"/>
        <v>Lua</v>
      </c>
      <c r="C43" s="9">
        <f t="shared" ref="C43:C45" si="16">O27</f>
        <v>16</v>
      </c>
      <c r="D43" s="9">
        <f t="shared" ref="D43:D45" si="17">AE27</f>
        <v>18</v>
      </c>
      <c r="E43" s="9">
        <f t="shared" ref="E43:E45" si="18">AK27</f>
        <v>0</v>
      </c>
      <c r="F43" s="9">
        <f t="shared" ref="F43:F48" si="19">SUM(C10:H10)</f>
        <v>4</v>
      </c>
      <c r="G43" s="9">
        <f t="shared" ref="G43:G48" si="20">SUM(I10:V10)</f>
        <v>11.5</v>
      </c>
      <c r="H43" s="9">
        <f t="shared" ref="H43:H48" si="21">SUM(W10:AL10)</f>
        <v>7.5</v>
      </c>
      <c r="I43" s="9">
        <f t="shared" ref="I43:I48" si="22">SUM(AM10:AT10)</f>
        <v>0</v>
      </c>
      <c r="J43" s="9">
        <f t="shared" si="4"/>
        <v>57</v>
      </c>
    </row>
    <row r="44" spans="1:31" s="10" customFormat="1" ht="12.75" x14ac:dyDescent="0.2">
      <c r="A44" s="8" t="str">
        <f t="shared" si="5"/>
        <v>PIRLOT</v>
      </c>
      <c r="B44" s="8" t="str">
        <f t="shared" si="5"/>
        <v>Audrey</v>
      </c>
      <c r="C44" s="9">
        <f t="shared" si="16"/>
        <v>0</v>
      </c>
      <c r="D44" s="9">
        <f t="shared" si="17"/>
        <v>0</v>
      </c>
      <c r="E44" s="9">
        <f t="shared" si="18"/>
        <v>0</v>
      </c>
      <c r="F44" s="9">
        <f t="shared" si="19"/>
        <v>0</v>
      </c>
      <c r="G44" s="9">
        <f t="shared" si="20"/>
        <v>0</v>
      </c>
      <c r="H44" s="9">
        <f t="shared" si="21"/>
        <v>0</v>
      </c>
      <c r="I44" s="9">
        <f t="shared" si="22"/>
        <v>0</v>
      </c>
      <c r="J44" s="9">
        <f t="shared" si="4"/>
        <v>0</v>
      </c>
    </row>
    <row r="45" spans="1:31" s="10" customFormat="1" ht="12.75" x14ac:dyDescent="0.2">
      <c r="A45" s="8" t="str">
        <f t="shared" si="5"/>
        <v>HOUIOUX</v>
      </c>
      <c r="B45" s="8" t="str">
        <f t="shared" si="5"/>
        <v>Guillaume</v>
      </c>
      <c r="C45" s="9">
        <f t="shared" si="16"/>
        <v>0</v>
      </c>
      <c r="D45" s="9">
        <f t="shared" si="17"/>
        <v>0</v>
      </c>
      <c r="E45" s="9">
        <f t="shared" si="18"/>
        <v>0</v>
      </c>
      <c r="F45" s="9">
        <f t="shared" si="19"/>
        <v>0</v>
      </c>
      <c r="G45" s="9">
        <f t="shared" si="20"/>
        <v>0</v>
      </c>
      <c r="H45" s="9">
        <f t="shared" si="21"/>
        <v>0</v>
      </c>
      <c r="I45" s="9">
        <f t="shared" si="22"/>
        <v>0</v>
      </c>
      <c r="J45" s="9">
        <f t="shared" si="4"/>
        <v>0</v>
      </c>
    </row>
    <row r="46" spans="1:31" s="10" customFormat="1" ht="15.75" customHeight="1" x14ac:dyDescent="0.2">
      <c r="A46" s="8">
        <f t="shared" si="5"/>
        <v>0</v>
      </c>
      <c r="B46" s="8">
        <f t="shared" si="5"/>
        <v>0</v>
      </c>
      <c r="C46" s="9">
        <f t="shared" si="13"/>
        <v>0</v>
      </c>
      <c r="D46" s="9">
        <f t="shared" si="14"/>
        <v>0</v>
      </c>
      <c r="E46" s="9">
        <f t="shared" si="15"/>
        <v>0</v>
      </c>
      <c r="F46" s="9">
        <f t="shared" si="19"/>
        <v>0</v>
      </c>
      <c r="G46" s="9">
        <f t="shared" si="20"/>
        <v>0</v>
      </c>
      <c r="H46" s="9">
        <f t="shared" si="21"/>
        <v>0</v>
      </c>
      <c r="I46" s="9">
        <f t="shared" si="22"/>
        <v>0</v>
      </c>
      <c r="J46" s="9">
        <f t="shared" si="4"/>
        <v>0</v>
      </c>
    </row>
    <row r="47" spans="1:31" s="10" customFormat="1" ht="15.75" customHeight="1" x14ac:dyDescent="0.2">
      <c r="A47" s="8">
        <f t="shared" si="5"/>
        <v>0</v>
      </c>
      <c r="B47" s="8">
        <f t="shared" si="5"/>
        <v>0</v>
      </c>
      <c r="C47" s="9">
        <f t="shared" si="13"/>
        <v>0</v>
      </c>
      <c r="D47" s="9">
        <f t="shared" si="14"/>
        <v>0</v>
      </c>
      <c r="E47" s="9">
        <f t="shared" si="15"/>
        <v>0</v>
      </c>
      <c r="F47" s="9">
        <f t="shared" si="19"/>
        <v>0</v>
      </c>
      <c r="G47" s="9">
        <f t="shared" si="20"/>
        <v>0</v>
      </c>
      <c r="H47" s="9">
        <f t="shared" si="21"/>
        <v>0</v>
      </c>
      <c r="I47" s="9">
        <f t="shared" si="22"/>
        <v>0</v>
      </c>
      <c r="J47" s="9">
        <f t="shared" si="4"/>
        <v>0</v>
      </c>
    </row>
    <row r="48" spans="1:31" s="10" customFormat="1" ht="15.75" customHeight="1" x14ac:dyDescent="0.2">
      <c r="A48" s="8">
        <f t="shared" si="5"/>
        <v>0</v>
      </c>
      <c r="B48" s="8">
        <f t="shared" si="5"/>
        <v>0</v>
      </c>
      <c r="C48" s="9">
        <f t="shared" si="13"/>
        <v>0</v>
      </c>
      <c r="D48" s="9">
        <f t="shared" si="14"/>
        <v>0</v>
      </c>
      <c r="E48" s="9">
        <f t="shared" si="15"/>
        <v>0</v>
      </c>
      <c r="F48" s="9">
        <f t="shared" si="19"/>
        <v>0</v>
      </c>
      <c r="G48" s="9">
        <f t="shared" si="20"/>
        <v>0</v>
      </c>
      <c r="H48" s="9">
        <f t="shared" si="21"/>
        <v>0</v>
      </c>
      <c r="I48" s="9">
        <f t="shared" si="22"/>
        <v>0</v>
      </c>
      <c r="J48" s="9">
        <f t="shared" si="4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U48"/>
  <sheetViews>
    <sheetView topLeftCell="A4" zoomScaleNormal="100" workbookViewId="0">
      <pane xSplit="1" topLeftCell="B1" activePane="topRight" state="frozen"/>
      <selection pane="topRight" activeCell="K23" sqref="K23"/>
    </sheetView>
  </sheetViews>
  <sheetFormatPr baseColWidth="10" defaultColWidth="14.42578125" defaultRowHeight="15.75" customHeight="1" x14ac:dyDescent="0.2"/>
  <cols>
    <col min="1" max="1" width="13.28515625" customWidth="1"/>
  </cols>
  <sheetData>
    <row r="1" spans="1:47" ht="12.75" x14ac:dyDescent="0.2">
      <c r="A1" s="1"/>
      <c r="B1" s="1"/>
      <c r="C1" s="7" t="s">
        <v>0</v>
      </c>
      <c r="D1" s="4">
        <v>44</v>
      </c>
    </row>
    <row r="2" spans="1:47" ht="12.75" x14ac:dyDescent="0.2">
      <c r="A2" s="1" t="s">
        <v>1</v>
      </c>
      <c r="B2" s="1"/>
      <c r="C2" s="1" t="s">
        <v>2</v>
      </c>
      <c r="D2" s="1" t="s">
        <v>2</v>
      </c>
      <c r="E2" s="1" t="s">
        <v>3</v>
      </c>
      <c r="F2" s="1" t="s">
        <v>3</v>
      </c>
      <c r="G2" s="1" t="s">
        <v>75</v>
      </c>
      <c r="H2" s="1" t="s">
        <v>75</v>
      </c>
      <c r="I2" s="1" t="s">
        <v>4</v>
      </c>
      <c r="J2" s="1" t="s">
        <v>4</v>
      </c>
      <c r="K2" s="1" t="s">
        <v>5</v>
      </c>
      <c r="L2" s="1" t="s">
        <v>5</v>
      </c>
      <c r="M2" s="1" t="s">
        <v>6</v>
      </c>
      <c r="N2" s="1" t="s">
        <v>6</v>
      </c>
      <c r="O2" s="1" t="s">
        <v>7</v>
      </c>
      <c r="P2" s="1" t="s">
        <v>7</v>
      </c>
      <c r="Q2" s="1" t="s">
        <v>8</v>
      </c>
      <c r="R2" s="1" t="s">
        <v>8</v>
      </c>
      <c r="S2" s="1" t="s">
        <v>57</v>
      </c>
      <c r="T2" s="1" t="s">
        <v>57</v>
      </c>
      <c r="U2" s="1" t="s">
        <v>58</v>
      </c>
      <c r="V2" s="1" t="s">
        <v>58</v>
      </c>
      <c r="W2" s="1" t="s">
        <v>9</v>
      </c>
      <c r="X2" s="1" t="s">
        <v>9</v>
      </c>
      <c r="Y2" s="1" t="s">
        <v>10</v>
      </c>
      <c r="Z2" s="1" t="s">
        <v>10</v>
      </c>
      <c r="AA2" s="1" t="s">
        <v>11</v>
      </c>
      <c r="AB2" s="1" t="s">
        <v>11</v>
      </c>
      <c r="AC2" s="1" t="s">
        <v>12</v>
      </c>
      <c r="AD2" s="1" t="s">
        <v>12</v>
      </c>
      <c r="AE2" s="1" t="s">
        <v>13</v>
      </c>
      <c r="AF2" s="1" t="s">
        <v>13</v>
      </c>
      <c r="AG2" s="1" t="s">
        <v>14</v>
      </c>
      <c r="AH2" s="1" t="s">
        <v>14</v>
      </c>
      <c r="AI2" s="1" t="s">
        <v>15</v>
      </c>
      <c r="AJ2" s="1" t="s">
        <v>15</v>
      </c>
      <c r="AK2" s="1" t="s">
        <v>59</v>
      </c>
      <c r="AL2" s="1" t="s">
        <v>59</v>
      </c>
      <c r="AM2" s="1" t="s">
        <v>16</v>
      </c>
      <c r="AN2" s="1" t="s">
        <v>16</v>
      </c>
      <c r="AO2" s="1" t="s">
        <v>17</v>
      </c>
      <c r="AP2" s="1" t="s">
        <v>17</v>
      </c>
      <c r="AQ2" s="1" t="s">
        <v>18</v>
      </c>
      <c r="AR2" s="1" t="s">
        <v>18</v>
      </c>
      <c r="AS2" s="1" t="s">
        <v>19</v>
      </c>
      <c r="AT2" s="1" t="s">
        <v>19</v>
      </c>
      <c r="AU2" s="1" t="s">
        <v>20</v>
      </c>
    </row>
    <row r="3" spans="1:47" ht="12.75" x14ac:dyDescent="0.2">
      <c r="A3" s="1" t="s">
        <v>21</v>
      </c>
      <c r="B3" s="1" t="s">
        <v>22</v>
      </c>
      <c r="C3" s="1" t="s">
        <v>24</v>
      </c>
      <c r="D3" s="1" t="s">
        <v>25</v>
      </c>
      <c r="E3" s="1" t="s">
        <v>170</v>
      </c>
      <c r="F3" s="1" t="s">
        <v>171</v>
      </c>
      <c r="G3" s="1" t="s">
        <v>172</v>
      </c>
      <c r="H3" s="1" t="s">
        <v>173</v>
      </c>
      <c r="I3" s="1" t="s">
        <v>26</v>
      </c>
      <c r="J3" s="1" t="s">
        <v>27</v>
      </c>
      <c r="K3" s="1" t="s">
        <v>29</v>
      </c>
      <c r="L3" s="1" t="s">
        <v>28</v>
      </c>
      <c r="M3" s="1" t="s">
        <v>76</v>
      </c>
      <c r="N3" s="1" t="s">
        <v>77</v>
      </c>
      <c r="O3" s="1" t="s">
        <v>78</v>
      </c>
      <c r="P3" s="1" t="s">
        <v>79</v>
      </c>
      <c r="Q3" s="1" t="s">
        <v>80</v>
      </c>
      <c r="R3" s="1" t="s">
        <v>81</v>
      </c>
      <c r="S3" s="1" t="s">
        <v>82</v>
      </c>
      <c r="T3" s="1" t="s">
        <v>83</v>
      </c>
      <c r="U3" s="1" t="s">
        <v>84</v>
      </c>
      <c r="V3" s="1" t="s">
        <v>85</v>
      </c>
      <c r="W3" s="1" t="s">
        <v>25</v>
      </c>
      <c r="X3" s="1" t="s">
        <v>30</v>
      </c>
      <c r="Y3" s="1" t="s">
        <v>86</v>
      </c>
      <c r="Z3" s="1" t="s">
        <v>87</v>
      </c>
      <c r="AA3" s="1" t="s">
        <v>88</v>
      </c>
      <c r="AB3" s="1" t="s">
        <v>89</v>
      </c>
      <c r="AC3" s="1" t="s">
        <v>90</v>
      </c>
      <c r="AD3" s="1" t="s">
        <v>91</v>
      </c>
      <c r="AE3" s="1" t="s">
        <v>92</v>
      </c>
      <c r="AF3" s="1" t="s">
        <v>93</v>
      </c>
      <c r="AG3" s="1" t="s">
        <v>94</v>
      </c>
      <c r="AH3" s="1" t="s">
        <v>95</v>
      </c>
      <c r="AI3" s="1" t="s">
        <v>96</v>
      </c>
      <c r="AJ3" s="1" t="s">
        <v>97</v>
      </c>
      <c r="AK3" s="1" t="s">
        <v>98</v>
      </c>
      <c r="AL3" s="1" t="s">
        <v>99</v>
      </c>
      <c r="AM3" s="1" t="s">
        <v>23</v>
      </c>
      <c r="AN3" s="1" t="s">
        <v>100</v>
      </c>
      <c r="AO3" s="1" t="s">
        <v>101</v>
      </c>
      <c r="AP3" s="1" t="s">
        <v>102</v>
      </c>
      <c r="AQ3" s="1" t="s">
        <v>103</v>
      </c>
      <c r="AR3" s="1" t="s">
        <v>104</v>
      </c>
      <c r="AS3" s="1" t="s">
        <v>105</v>
      </c>
      <c r="AT3" s="1" t="s">
        <v>106</v>
      </c>
      <c r="AU3" s="1"/>
    </row>
    <row r="4" spans="1:47" s="26" customFormat="1" ht="12.75" x14ac:dyDescent="0.2">
      <c r="A4" s="24" t="s">
        <v>137</v>
      </c>
      <c r="B4" s="24" t="s">
        <v>138</v>
      </c>
      <c r="C4" s="25">
        <v>0</v>
      </c>
      <c r="D4" s="25">
        <v>0</v>
      </c>
      <c r="E4" s="25">
        <v>1</v>
      </c>
      <c r="F4" s="25">
        <v>1</v>
      </c>
      <c r="G4" s="25">
        <v>1</v>
      </c>
      <c r="H4" s="25">
        <v>1</v>
      </c>
      <c r="I4" s="25">
        <v>0</v>
      </c>
      <c r="J4" s="25">
        <v>0</v>
      </c>
      <c r="K4" s="25">
        <v>1</v>
      </c>
      <c r="L4" s="25">
        <v>0</v>
      </c>
      <c r="M4" s="25">
        <v>0</v>
      </c>
      <c r="N4" s="25">
        <v>0</v>
      </c>
      <c r="O4" s="25">
        <v>1</v>
      </c>
      <c r="P4" s="25">
        <v>0</v>
      </c>
      <c r="Q4" s="25">
        <v>0.5</v>
      </c>
      <c r="R4" s="25">
        <v>0</v>
      </c>
      <c r="S4" s="25">
        <v>1</v>
      </c>
      <c r="T4" s="25">
        <v>0</v>
      </c>
      <c r="U4" s="25">
        <v>0</v>
      </c>
      <c r="V4" s="25">
        <v>0</v>
      </c>
      <c r="W4" s="25">
        <v>1</v>
      </c>
      <c r="X4" s="25">
        <v>0</v>
      </c>
      <c r="Y4" s="25">
        <v>0</v>
      </c>
      <c r="Z4" s="25">
        <v>0</v>
      </c>
      <c r="AA4" s="25">
        <v>0</v>
      </c>
      <c r="AB4" s="25">
        <v>0</v>
      </c>
      <c r="AC4" s="25">
        <v>0</v>
      </c>
      <c r="AD4" s="25">
        <v>0</v>
      </c>
      <c r="AE4" s="25">
        <v>0</v>
      </c>
      <c r="AF4" s="25">
        <v>0</v>
      </c>
      <c r="AG4" s="25">
        <v>0</v>
      </c>
      <c r="AH4" s="25">
        <v>0</v>
      </c>
      <c r="AI4" s="25">
        <v>0</v>
      </c>
      <c r="AJ4" s="25">
        <v>0</v>
      </c>
      <c r="AK4" s="25">
        <v>0</v>
      </c>
      <c r="AL4" s="25">
        <v>0</v>
      </c>
      <c r="AM4" s="25">
        <v>0</v>
      </c>
      <c r="AN4" s="25">
        <v>0</v>
      </c>
      <c r="AO4" s="25">
        <v>0</v>
      </c>
      <c r="AP4" s="25">
        <v>0</v>
      </c>
      <c r="AQ4" s="25">
        <v>0</v>
      </c>
      <c r="AR4" s="25">
        <v>0</v>
      </c>
      <c r="AS4" s="25">
        <v>0</v>
      </c>
      <c r="AT4" s="25">
        <v>0</v>
      </c>
      <c r="AU4" s="25">
        <f>SUM(C4:AT4)</f>
        <v>8.5</v>
      </c>
    </row>
    <row r="5" spans="1:47" s="26" customFormat="1" ht="12.75" x14ac:dyDescent="0.2">
      <c r="A5" s="24" t="s">
        <v>139</v>
      </c>
      <c r="B5" s="24" t="s">
        <v>31</v>
      </c>
      <c r="C5" s="25">
        <v>0</v>
      </c>
      <c r="D5" s="25">
        <v>0</v>
      </c>
      <c r="E5" s="25">
        <v>1</v>
      </c>
      <c r="F5" s="25">
        <v>1</v>
      </c>
      <c r="G5" s="25">
        <v>1</v>
      </c>
      <c r="H5" s="25">
        <v>0</v>
      </c>
      <c r="I5" s="25">
        <v>0.5</v>
      </c>
      <c r="J5" s="25">
        <v>0.5</v>
      </c>
      <c r="K5" s="25">
        <v>0</v>
      </c>
      <c r="L5" s="25">
        <v>0</v>
      </c>
      <c r="M5" s="25">
        <v>1</v>
      </c>
      <c r="N5" s="25">
        <v>1</v>
      </c>
      <c r="O5" s="25">
        <v>1</v>
      </c>
      <c r="P5" s="25">
        <v>1</v>
      </c>
      <c r="Q5" s="25">
        <v>1</v>
      </c>
      <c r="R5" s="25">
        <v>1</v>
      </c>
      <c r="S5" s="25">
        <v>1</v>
      </c>
      <c r="T5" s="25">
        <v>1</v>
      </c>
      <c r="U5" s="25">
        <v>1</v>
      </c>
      <c r="V5" s="25">
        <v>1</v>
      </c>
      <c r="W5" s="25">
        <v>0</v>
      </c>
      <c r="X5" s="25">
        <v>0</v>
      </c>
      <c r="Y5" s="25">
        <v>0</v>
      </c>
      <c r="Z5" s="25">
        <v>0</v>
      </c>
      <c r="AA5" s="25">
        <v>1</v>
      </c>
      <c r="AB5" s="25">
        <v>0</v>
      </c>
      <c r="AC5" s="25">
        <v>1</v>
      </c>
      <c r="AD5" s="25">
        <v>1</v>
      </c>
      <c r="AE5" s="25">
        <v>0</v>
      </c>
      <c r="AF5" s="25">
        <v>0</v>
      </c>
      <c r="AG5" s="25">
        <v>0</v>
      </c>
      <c r="AH5" s="25">
        <v>0</v>
      </c>
      <c r="AI5" s="25">
        <v>0</v>
      </c>
      <c r="AJ5" s="25">
        <v>0</v>
      </c>
      <c r="AK5" s="25">
        <v>0</v>
      </c>
      <c r="AL5" s="25">
        <v>0</v>
      </c>
      <c r="AM5" s="25">
        <v>1</v>
      </c>
      <c r="AN5" s="25">
        <v>0</v>
      </c>
      <c r="AO5" s="25">
        <v>1</v>
      </c>
      <c r="AP5" s="25">
        <v>1</v>
      </c>
      <c r="AQ5" s="25">
        <v>1</v>
      </c>
      <c r="AR5" s="25">
        <v>1</v>
      </c>
      <c r="AS5" s="25">
        <v>1</v>
      </c>
      <c r="AT5" s="25">
        <v>0</v>
      </c>
      <c r="AU5" s="25">
        <f t="shared" ref="AU5:AU15" si="0">SUM(C5:AT5)</f>
        <v>23</v>
      </c>
    </row>
    <row r="6" spans="1:47" s="26" customFormat="1" ht="12.75" x14ac:dyDescent="0.2">
      <c r="A6" s="25" t="s">
        <v>147</v>
      </c>
      <c r="B6" s="25" t="s">
        <v>148</v>
      </c>
      <c r="C6" s="25">
        <v>0</v>
      </c>
      <c r="D6" s="25">
        <v>0</v>
      </c>
      <c r="E6" s="25">
        <v>1</v>
      </c>
      <c r="F6" s="25">
        <v>1</v>
      </c>
      <c r="G6" s="25">
        <v>1</v>
      </c>
      <c r="H6" s="25">
        <v>1</v>
      </c>
      <c r="I6" s="25">
        <v>0</v>
      </c>
      <c r="J6" s="25">
        <v>0</v>
      </c>
      <c r="K6" s="25">
        <v>1</v>
      </c>
      <c r="L6" s="25">
        <v>0</v>
      </c>
      <c r="M6" s="25">
        <v>0</v>
      </c>
      <c r="N6" s="25">
        <v>0</v>
      </c>
      <c r="O6" s="25">
        <v>1</v>
      </c>
      <c r="P6" s="25">
        <v>1</v>
      </c>
      <c r="Q6" s="25">
        <v>1</v>
      </c>
      <c r="R6" s="25">
        <v>1</v>
      </c>
      <c r="S6" s="25">
        <v>1</v>
      </c>
      <c r="T6" s="25">
        <v>0</v>
      </c>
      <c r="U6" s="25">
        <v>0</v>
      </c>
      <c r="V6" s="25">
        <v>0</v>
      </c>
      <c r="W6" s="25">
        <v>1</v>
      </c>
      <c r="X6" s="25">
        <v>0</v>
      </c>
      <c r="Y6" s="25">
        <v>0</v>
      </c>
      <c r="Z6" s="25">
        <v>0</v>
      </c>
      <c r="AA6" s="25">
        <v>0</v>
      </c>
      <c r="AB6" s="25">
        <v>0</v>
      </c>
      <c r="AC6" s="25">
        <v>0</v>
      </c>
      <c r="AD6" s="25">
        <v>0</v>
      </c>
      <c r="AE6" s="25">
        <v>0</v>
      </c>
      <c r="AF6" s="25">
        <v>0</v>
      </c>
      <c r="AG6" s="25">
        <v>0</v>
      </c>
      <c r="AH6" s="25">
        <v>0</v>
      </c>
      <c r="AI6" s="25">
        <v>0</v>
      </c>
      <c r="AJ6" s="25">
        <v>0</v>
      </c>
      <c r="AK6" s="25">
        <v>0</v>
      </c>
      <c r="AL6" s="25">
        <v>0</v>
      </c>
      <c r="AM6" s="25">
        <v>0</v>
      </c>
      <c r="AN6" s="25">
        <v>0</v>
      </c>
      <c r="AO6" s="25">
        <v>0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f t="shared" si="0"/>
        <v>11</v>
      </c>
    </row>
    <row r="7" spans="1:47" s="26" customFormat="1" ht="12.75" x14ac:dyDescent="0.2">
      <c r="A7" s="25" t="s">
        <v>149</v>
      </c>
      <c r="B7" s="25" t="s">
        <v>150</v>
      </c>
      <c r="C7" s="25">
        <v>0</v>
      </c>
      <c r="D7" s="25">
        <v>0</v>
      </c>
      <c r="E7" s="25">
        <v>1</v>
      </c>
      <c r="F7" s="25">
        <v>1</v>
      </c>
      <c r="G7" s="25">
        <v>1</v>
      </c>
      <c r="H7" s="25">
        <v>1</v>
      </c>
      <c r="I7" s="25">
        <v>0</v>
      </c>
      <c r="J7" s="25">
        <v>0</v>
      </c>
      <c r="K7" s="25">
        <v>1</v>
      </c>
      <c r="L7" s="25">
        <v>0</v>
      </c>
      <c r="M7" s="25">
        <v>0</v>
      </c>
      <c r="N7" s="25">
        <v>0</v>
      </c>
      <c r="O7" s="25">
        <v>1</v>
      </c>
      <c r="P7" s="25">
        <v>1</v>
      </c>
      <c r="Q7" s="25">
        <v>1</v>
      </c>
      <c r="R7" s="25">
        <v>0</v>
      </c>
      <c r="S7" s="25">
        <v>1</v>
      </c>
      <c r="T7" s="25">
        <v>0</v>
      </c>
      <c r="U7" s="25">
        <v>0</v>
      </c>
      <c r="V7" s="25">
        <v>0</v>
      </c>
      <c r="W7" s="25">
        <v>1</v>
      </c>
      <c r="X7" s="25">
        <v>0</v>
      </c>
      <c r="Y7" s="25">
        <v>0</v>
      </c>
      <c r="Z7" s="25">
        <v>0</v>
      </c>
      <c r="AA7" s="25">
        <v>0</v>
      </c>
      <c r="AB7" s="25">
        <v>0</v>
      </c>
      <c r="AC7" s="25">
        <v>0</v>
      </c>
      <c r="AD7" s="25">
        <v>0</v>
      </c>
      <c r="AE7" s="25">
        <v>0</v>
      </c>
      <c r="AF7" s="25">
        <v>0</v>
      </c>
      <c r="AG7" s="25">
        <v>0</v>
      </c>
      <c r="AH7" s="25">
        <v>0</v>
      </c>
      <c r="AI7" s="25">
        <v>0</v>
      </c>
      <c r="AJ7" s="25">
        <v>0</v>
      </c>
      <c r="AK7" s="25">
        <v>0</v>
      </c>
      <c r="AL7" s="25">
        <v>0</v>
      </c>
      <c r="AM7" s="25">
        <v>0</v>
      </c>
      <c r="AN7" s="25">
        <v>0</v>
      </c>
      <c r="AO7" s="25">
        <v>0</v>
      </c>
      <c r="AP7" s="25">
        <v>0</v>
      </c>
      <c r="AQ7" s="25">
        <v>0</v>
      </c>
      <c r="AR7" s="25">
        <v>0</v>
      </c>
      <c r="AS7" s="25">
        <v>0</v>
      </c>
      <c r="AT7" s="25">
        <v>0</v>
      </c>
      <c r="AU7" s="25">
        <f t="shared" si="0"/>
        <v>10</v>
      </c>
    </row>
    <row r="8" spans="1:47" s="26" customFormat="1" ht="12.75" x14ac:dyDescent="0.2">
      <c r="A8" s="25" t="s">
        <v>151</v>
      </c>
      <c r="B8" s="24" t="s">
        <v>152</v>
      </c>
      <c r="C8" s="25">
        <v>0</v>
      </c>
      <c r="D8" s="25">
        <v>0</v>
      </c>
      <c r="E8" s="25">
        <v>1</v>
      </c>
      <c r="F8" s="25">
        <v>1</v>
      </c>
      <c r="G8" s="25">
        <v>1</v>
      </c>
      <c r="H8" s="25">
        <v>1</v>
      </c>
      <c r="I8" s="25">
        <v>0</v>
      </c>
      <c r="J8" s="25">
        <v>0</v>
      </c>
      <c r="K8" s="25">
        <v>0.5</v>
      </c>
      <c r="L8" s="25">
        <v>0</v>
      </c>
      <c r="M8" s="25">
        <v>0</v>
      </c>
      <c r="N8" s="25">
        <v>0</v>
      </c>
      <c r="O8" s="25">
        <v>1</v>
      </c>
      <c r="P8" s="25">
        <v>1</v>
      </c>
      <c r="Q8" s="25">
        <v>1</v>
      </c>
      <c r="R8" s="25">
        <v>1</v>
      </c>
      <c r="S8" s="25">
        <v>1</v>
      </c>
      <c r="T8" s="25">
        <v>1</v>
      </c>
      <c r="U8" s="25">
        <v>0</v>
      </c>
      <c r="V8" s="25">
        <v>0</v>
      </c>
      <c r="W8" s="25">
        <v>1</v>
      </c>
      <c r="X8" s="25">
        <v>0</v>
      </c>
      <c r="Y8" s="25">
        <v>1</v>
      </c>
      <c r="Z8" s="25">
        <v>0</v>
      </c>
      <c r="AA8" s="25">
        <v>0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0</v>
      </c>
      <c r="AH8" s="25">
        <v>0</v>
      </c>
      <c r="AI8" s="25">
        <v>0</v>
      </c>
      <c r="AJ8" s="25">
        <v>0</v>
      </c>
      <c r="AK8" s="25">
        <v>0</v>
      </c>
      <c r="AL8" s="25">
        <v>0</v>
      </c>
      <c r="AM8" s="25">
        <v>0</v>
      </c>
      <c r="AN8" s="25">
        <v>0</v>
      </c>
      <c r="AO8" s="25">
        <v>0</v>
      </c>
      <c r="AP8" s="25">
        <v>0</v>
      </c>
      <c r="AQ8" s="25">
        <v>0</v>
      </c>
      <c r="AR8" s="25">
        <v>0</v>
      </c>
      <c r="AS8" s="25">
        <v>0</v>
      </c>
      <c r="AT8" s="25">
        <v>0</v>
      </c>
      <c r="AU8" s="25">
        <f t="shared" si="0"/>
        <v>12.5</v>
      </c>
    </row>
    <row r="9" spans="1:47" s="26" customFormat="1" ht="15.75" customHeight="1" x14ac:dyDescent="0.2">
      <c r="A9" s="25" t="s">
        <v>145</v>
      </c>
      <c r="B9" s="25" t="s">
        <v>153</v>
      </c>
      <c r="C9" s="25">
        <v>0</v>
      </c>
      <c r="D9" s="25">
        <v>0</v>
      </c>
      <c r="E9" s="25">
        <v>1</v>
      </c>
      <c r="F9" s="25">
        <v>0</v>
      </c>
      <c r="G9" s="25">
        <v>1</v>
      </c>
      <c r="H9" s="25">
        <v>1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1</v>
      </c>
      <c r="P9" s="25">
        <v>0</v>
      </c>
      <c r="Q9" s="25">
        <v>1</v>
      </c>
      <c r="R9" s="25">
        <v>1</v>
      </c>
      <c r="S9" s="25">
        <v>1</v>
      </c>
      <c r="T9" s="25">
        <v>1</v>
      </c>
      <c r="U9" s="25">
        <v>0</v>
      </c>
      <c r="V9" s="25">
        <v>0</v>
      </c>
      <c r="W9" s="25">
        <v>1</v>
      </c>
      <c r="X9" s="25">
        <v>0</v>
      </c>
      <c r="Y9" s="25">
        <v>0</v>
      </c>
      <c r="Z9" s="25">
        <v>0</v>
      </c>
      <c r="AA9" s="25">
        <v>0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0</v>
      </c>
      <c r="AM9" s="25">
        <v>0</v>
      </c>
      <c r="AN9" s="25">
        <v>0</v>
      </c>
      <c r="AO9" s="25">
        <v>0</v>
      </c>
      <c r="AP9" s="25">
        <v>0</v>
      </c>
      <c r="AQ9" s="25">
        <v>0</v>
      </c>
      <c r="AR9" s="25">
        <v>0</v>
      </c>
      <c r="AS9" s="25">
        <v>0</v>
      </c>
      <c r="AT9" s="25">
        <v>0</v>
      </c>
      <c r="AU9" s="25">
        <f t="shared" si="0"/>
        <v>9</v>
      </c>
    </row>
    <row r="10" spans="1:47" s="10" customFormat="1" ht="12.75" x14ac:dyDescent="0.2">
      <c r="A10" s="20" t="s">
        <v>154</v>
      </c>
      <c r="B10" s="20" t="s">
        <v>155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</v>
      </c>
      <c r="AQ10" s="8">
        <v>0</v>
      </c>
      <c r="AR10" s="8">
        <v>0</v>
      </c>
      <c r="AS10" s="8">
        <v>0</v>
      </c>
      <c r="AT10" s="8">
        <v>0</v>
      </c>
      <c r="AU10" s="8">
        <f t="shared" si="0"/>
        <v>0</v>
      </c>
    </row>
    <row r="11" spans="1:47" s="10" customFormat="1" ht="12.75" x14ac:dyDescent="0.2">
      <c r="B11" s="8"/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0</v>
      </c>
      <c r="AT11" s="8">
        <v>0</v>
      </c>
      <c r="AU11" s="8">
        <f t="shared" si="0"/>
        <v>0</v>
      </c>
    </row>
    <row r="12" spans="1:47" s="10" customFormat="1" ht="12.75" x14ac:dyDescent="0.2">
      <c r="A12" s="8"/>
      <c r="B12" s="8"/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  <c r="AJ12" s="8">
        <v>0</v>
      </c>
      <c r="AK12" s="8">
        <v>0</v>
      </c>
      <c r="AL12" s="8">
        <v>0</v>
      </c>
      <c r="AM12" s="8">
        <v>0</v>
      </c>
      <c r="AN12" s="8">
        <v>0</v>
      </c>
      <c r="AO12" s="8">
        <v>0</v>
      </c>
      <c r="AP12" s="8">
        <v>0</v>
      </c>
      <c r="AQ12" s="8">
        <v>0</v>
      </c>
      <c r="AR12" s="8">
        <v>0</v>
      </c>
      <c r="AS12" s="8">
        <v>0</v>
      </c>
      <c r="AT12" s="8">
        <v>0</v>
      </c>
      <c r="AU12" s="8">
        <f t="shared" si="0"/>
        <v>0</v>
      </c>
    </row>
    <row r="13" spans="1:47" s="10" customFormat="1" ht="12.75" x14ac:dyDescent="0.2">
      <c r="A13" s="8"/>
      <c r="B13" s="8"/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I13" s="8">
        <v>0</v>
      </c>
      <c r="AJ13" s="8">
        <v>0</v>
      </c>
      <c r="AK13" s="8">
        <v>0</v>
      </c>
      <c r="AL13" s="8">
        <v>0</v>
      </c>
      <c r="AM13" s="8">
        <v>0</v>
      </c>
      <c r="AN13" s="8">
        <v>0</v>
      </c>
      <c r="AO13" s="8">
        <v>0</v>
      </c>
      <c r="AP13" s="8">
        <v>0</v>
      </c>
      <c r="AQ13" s="8">
        <v>0</v>
      </c>
      <c r="AR13" s="8">
        <v>0</v>
      </c>
      <c r="AS13" s="8">
        <v>0</v>
      </c>
      <c r="AT13" s="8">
        <v>0</v>
      </c>
      <c r="AU13" s="8">
        <f t="shared" si="0"/>
        <v>0</v>
      </c>
    </row>
    <row r="14" spans="1:47" s="10" customFormat="1" ht="12.75" x14ac:dyDescent="0.2">
      <c r="A14" s="8"/>
      <c r="B14" s="8"/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  <c r="AJ14" s="8">
        <v>0</v>
      </c>
      <c r="AK14" s="8">
        <v>0</v>
      </c>
      <c r="AL14" s="8">
        <v>0</v>
      </c>
      <c r="AM14" s="8">
        <v>0</v>
      </c>
      <c r="AN14" s="8">
        <v>0</v>
      </c>
      <c r="AO14" s="8">
        <v>0</v>
      </c>
      <c r="AP14" s="8">
        <v>0</v>
      </c>
      <c r="AQ14" s="8">
        <v>0</v>
      </c>
      <c r="AR14" s="8">
        <v>0</v>
      </c>
      <c r="AS14" s="8">
        <v>0</v>
      </c>
      <c r="AT14" s="8">
        <v>0</v>
      </c>
      <c r="AU14" s="8">
        <f t="shared" si="0"/>
        <v>0</v>
      </c>
    </row>
    <row r="15" spans="1:47" s="10" customFormat="1" ht="12.75" x14ac:dyDescent="0.2">
      <c r="A15" s="8"/>
      <c r="B15" s="8"/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I15" s="8">
        <v>0</v>
      </c>
      <c r="AJ15" s="8">
        <v>0</v>
      </c>
      <c r="AK15" s="8">
        <v>0</v>
      </c>
      <c r="AL15" s="8">
        <v>0</v>
      </c>
      <c r="AM15" s="8">
        <v>0</v>
      </c>
      <c r="AN15" s="8">
        <v>0</v>
      </c>
      <c r="AO15" s="8">
        <v>0</v>
      </c>
      <c r="AP15" s="8">
        <v>0</v>
      </c>
      <c r="AQ15" s="8">
        <v>0</v>
      </c>
      <c r="AR15" s="8">
        <v>0</v>
      </c>
      <c r="AS15" s="8">
        <v>0</v>
      </c>
      <c r="AT15" s="8">
        <v>0</v>
      </c>
      <c r="AU15" s="8">
        <f t="shared" si="0"/>
        <v>0</v>
      </c>
    </row>
    <row r="16" spans="1:47" ht="12.75" x14ac:dyDescent="0.2">
      <c r="A16" s="1"/>
      <c r="B16" s="1"/>
      <c r="C16" s="1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5"/>
    </row>
    <row r="17" spans="1:47" ht="12.75" x14ac:dyDescent="0.2">
      <c r="A17" s="1"/>
      <c r="B17" s="1"/>
      <c r="C17" s="1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5"/>
    </row>
    <row r="18" spans="1:47" ht="12.75" x14ac:dyDescent="0.2">
      <c r="A18" s="7" t="s">
        <v>32</v>
      </c>
      <c r="C18" s="7" t="s">
        <v>33</v>
      </c>
      <c r="D18" s="6">
        <f>O20</f>
        <v>22</v>
      </c>
      <c r="N18" s="1"/>
      <c r="P18" s="7" t="s">
        <v>35</v>
      </c>
      <c r="Q18" s="6">
        <f>AE20</f>
        <v>25</v>
      </c>
      <c r="AF18" s="12" t="s">
        <v>114</v>
      </c>
      <c r="AG18" s="4">
        <f>AK20</f>
        <v>9</v>
      </c>
    </row>
    <row r="19" spans="1:47" ht="12.75" x14ac:dyDescent="0.2">
      <c r="C19" s="1" t="s">
        <v>37</v>
      </c>
      <c r="D19" s="1" t="s">
        <v>38</v>
      </c>
      <c r="E19" s="1" t="s">
        <v>39</v>
      </c>
      <c r="F19" s="1" t="s">
        <v>40</v>
      </c>
      <c r="G19" s="11" t="s">
        <v>120</v>
      </c>
      <c r="H19" s="1" t="s">
        <v>41</v>
      </c>
      <c r="I19" s="11" t="s">
        <v>119</v>
      </c>
      <c r="J19" s="1" t="s">
        <v>42</v>
      </c>
      <c r="K19" s="1" t="s">
        <v>107</v>
      </c>
      <c r="L19" s="1" t="s">
        <v>61</v>
      </c>
      <c r="M19" s="1" t="s">
        <v>43</v>
      </c>
      <c r="N19" s="11" t="s">
        <v>121</v>
      </c>
      <c r="O19" s="1" t="s">
        <v>34</v>
      </c>
      <c r="P19" s="1" t="s">
        <v>87</v>
      </c>
      <c r="Q19" s="1" t="s">
        <v>108</v>
      </c>
      <c r="R19" s="1" t="s">
        <v>109</v>
      </c>
      <c r="S19" s="1" t="s">
        <v>110</v>
      </c>
      <c r="T19" s="11" t="s">
        <v>111</v>
      </c>
      <c r="U19" s="11" t="s">
        <v>112</v>
      </c>
      <c r="V19" s="11" t="s">
        <v>113</v>
      </c>
      <c r="W19" s="1" t="s">
        <v>44</v>
      </c>
      <c r="X19" s="1" t="s">
        <v>26</v>
      </c>
      <c r="Y19" s="1" t="s">
        <v>45</v>
      </c>
      <c r="Z19" s="1" t="s">
        <v>46</v>
      </c>
      <c r="AA19" s="1" t="s">
        <v>60</v>
      </c>
      <c r="AB19" s="1" t="s">
        <v>47</v>
      </c>
      <c r="AC19" s="1" t="s">
        <v>48</v>
      </c>
      <c r="AD19" s="1" t="s">
        <v>49</v>
      </c>
      <c r="AE19" s="1" t="s">
        <v>36</v>
      </c>
      <c r="AF19" s="11" t="s">
        <v>115</v>
      </c>
      <c r="AG19" s="11" t="s">
        <v>116</v>
      </c>
      <c r="AH19" s="11" t="s">
        <v>117</v>
      </c>
      <c r="AI19" s="11" t="s">
        <v>118</v>
      </c>
      <c r="AJ19" s="11" t="s">
        <v>122</v>
      </c>
      <c r="AK19" s="1" t="s">
        <v>36</v>
      </c>
    </row>
    <row r="20" spans="1:47" s="4" customFormat="1" ht="12.75" x14ac:dyDescent="0.2">
      <c r="C20" s="5">
        <v>2</v>
      </c>
      <c r="D20" s="5">
        <v>2</v>
      </c>
      <c r="E20" s="5">
        <v>2</v>
      </c>
      <c r="F20" s="5">
        <v>1</v>
      </c>
      <c r="G20" s="5">
        <v>1</v>
      </c>
      <c r="H20" s="5">
        <v>1</v>
      </c>
      <c r="I20" s="5">
        <v>2</v>
      </c>
      <c r="J20" s="5">
        <v>6</v>
      </c>
      <c r="K20" s="5">
        <v>1</v>
      </c>
      <c r="L20" s="5">
        <v>1</v>
      </c>
      <c r="M20" s="5">
        <v>1</v>
      </c>
      <c r="N20" s="5">
        <v>2</v>
      </c>
      <c r="O20" s="5">
        <f>SUM(C20:N20)</f>
        <v>22</v>
      </c>
      <c r="P20" s="5">
        <v>2</v>
      </c>
      <c r="Q20" s="5">
        <v>2</v>
      </c>
      <c r="R20" s="5">
        <v>2</v>
      </c>
      <c r="S20" s="5">
        <v>2</v>
      </c>
      <c r="T20" s="5">
        <v>2</v>
      </c>
      <c r="U20" s="5">
        <v>2</v>
      </c>
      <c r="V20" s="5">
        <v>2</v>
      </c>
      <c r="W20" s="5">
        <v>3</v>
      </c>
      <c r="X20" s="5">
        <v>2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4">
        <f>SUM(P20:AD20)</f>
        <v>25</v>
      </c>
      <c r="AF20" s="4">
        <v>1</v>
      </c>
      <c r="AG20" s="4">
        <v>2</v>
      </c>
      <c r="AH20" s="4">
        <v>2</v>
      </c>
      <c r="AI20" s="4">
        <v>1</v>
      </c>
      <c r="AJ20" s="4">
        <v>3</v>
      </c>
      <c r="AK20" s="4">
        <f>SUM(AF20:AJ20)</f>
        <v>9</v>
      </c>
    </row>
    <row r="21" spans="1:47" s="26" customFormat="1" ht="12.75" x14ac:dyDescent="0.2">
      <c r="A21" s="25" t="str">
        <f>A4</f>
        <v>YASSINE</v>
      </c>
      <c r="B21" s="25" t="str">
        <f>B4</f>
        <v>Abdesselam</v>
      </c>
      <c r="C21" s="25">
        <v>2</v>
      </c>
      <c r="D21" s="25">
        <v>0</v>
      </c>
      <c r="E21" s="25">
        <v>0</v>
      </c>
      <c r="F21" s="25">
        <v>0.5</v>
      </c>
      <c r="G21" s="25">
        <v>0</v>
      </c>
      <c r="H21" s="25">
        <v>0</v>
      </c>
      <c r="I21" s="25">
        <v>0</v>
      </c>
      <c r="J21" s="25">
        <v>2</v>
      </c>
      <c r="K21" s="25">
        <v>0</v>
      </c>
      <c r="L21" s="25">
        <v>0</v>
      </c>
      <c r="M21" s="25">
        <v>0</v>
      </c>
      <c r="N21" s="25">
        <v>0</v>
      </c>
      <c r="O21" s="25">
        <f t="shared" ref="O21:O32" si="1">SUM(C21:N21)</f>
        <v>4.5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25">
        <v>0</v>
      </c>
      <c r="V21" s="25">
        <v>0</v>
      </c>
      <c r="W21" s="25">
        <v>0</v>
      </c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25">
        <v>0</v>
      </c>
      <c r="AE21" s="27">
        <f t="shared" ref="AE21:AE32" si="2">SUM(P21:AD21)</f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</row>
    <row r="22" spans="1:47" s="26" customFormat="1" ht="12.75" x14ac:dyDescent="0.2">
      <c r="A22" s="25" t="str">
        <f>A5</f>
        <v>MIRZA</v>
      </c>
      <c r="B22" s="25" t="str">
        <f>B5</f>
        <v>Hassan</v>
      </c>
      <c r="C22" s="25">
        <v>1</v>
      </c>
      <c r="D22" s="25">
        <v>0.5</v>
      </c>
      <c r="E22" s="25">
        <v>0</v>
      </c>
      <c r="F22" s="25">
        <v>1</v>
      </c>
      <c r="G22" s="25">
        <v>0</v>
      </c>
      <c r="H22" s="25">
        <v>1</v>
      </c>
      <c r="I22" s="25">
        <v>0</v>
      </c>
      <c r="J22" s="25">
        <v>2</v>
      </c>
      <c r="K22" s="25">
        <v>0.5</v>
      </c>
      <c r="L22" s="25">
        <v>0</v>
      </c>
      <c r="M22" s="25">
        <v>0</v>
      </c>
      <c r="N22" s="25">
        <v>0</v>
      </c>
      <c r="O22" s="25">
        <f t="shared" si="1"/>
        <v>6</v>
      </c>
      <c r="P22" s="25">
        <v>1</v>
      </c>
      <c r="Q22" s="25">
        <v>0</v>
      </c>
      <c r="R22" s="25">
        <v>0</v>
      </c>
      <c r="S22" s="25">
        <v>0</v>
      </c>
      <c r="T22" s="25">
        <v>0</v>
      </c>
      <c r="U22" s="25">
        <v>0</v>
      </c>
      <c r="V22" s="25">
        <v>0</v>
      </c>
      <c r="W22" s="25">
        <v>0</v>
      </c>
      <c r="X22" s="25">
        <v>0</v>
      </c>
      <c r="Y22" s="25">
        <v>1</v>
      </c>
      <c r="Z22" s="25">
        <v>0</v>
      </c>
      <c r="AA22" s="25">
        <v>1</v>
      </c>
      <c r="AB22" s="25">
        <v>0</v>
      </c>
      <c r="AC22" s="25">
        <v>0</v>
      </c>
      <c r="AD22" s="25">
        <v>0</v>
      </c>
      <c r="AE22" s="27">
        <f t="shared" si="2"/>
        <v>3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</row>
    <row r="23" spans="1:47" s="26" customFormat="1" ht="12.75" x14ac:dyDescent="0.2">
      <c r="A23" s="25" t="str">
        <f t="shared" ref="A23:B32" si="3">A6</f>
        <v>HALBART</v>
      </c>
      <c r="B23" s="25" t="str">
        <f t="shared" si="3"/>
        <v>Arthur</v>
      </c>
      <c r="C23" s="25">
        <v>2</v>
      </c>
      <c r="D23" s="25">
        <v>2</v>
      </c>
      <c r="E23" s="25">
        <v>0</v>
      </c>
      <c r="F23" s="25">
        <v>1</v>
      </c>
      <c r="G23" s="25">
        <v>0</v>
      </c>
      <c r="H23" s="25">
        <v>0</v>
      </c>
      <c r="I23" s="25">
        <v>0</v>
      </c>
      <c r="J23" s="25">
        <v>4</v>
      </c>
      <c r="K23" s="25">
        <v>0</v>
      </c>
      <c r="L23" s="25">
        <v>0</v>
      </c>
      <c r="M23" s="25">
        <v>0</v>
      </c>
      <c r="N23" s="25">
        <v>0</v>
      </c>
      <c r="O23" s="25">
        <f t="shared" si="1"/>
        <v>9</v>
      </c>
      <c r="P23" s="25">
        <v>0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0</v>
      </c>
      <c r="W23" s="25">
        <v>0</v>
      </c>
      <c r="X23" s="25">
        <v>0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0</v>
      </c>
      <c r="AE23" s="27">
        <f t="shared" si="2"/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7"/>
      <c r="AM23" s="27"/>
      <c r="AN23" s="27"/>
      <c r="AO23" s="27"/>
      <c r="AP23" s="27"/>
      <c r="AQ23" s="27"/>
      <c r="AR23" s="27"/>
      <c r="AS23" s="27"/>
      <c r="AT23" s="27"/>
    </row>
    <row r="24" spans="1:47" s="26" customFormat="1" ht="12.75" x14ac:dyDescent="0.2">
      <c r="A24" s="25" t="str">
        <f t="shared" si="3"/>
        <v>MIKOLAJCZYK</v>
      </c>
      <c r="B24" s="25" t="str">
        <f t="shared" si="3"/>
        <v>Wiktor</v>
      </c>
      <c r="C24" s="25">
        <v>1</v>
      </c>
      <c r="D24" s="25">
        <v>0.5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2</v>
      </c>
      <c r="K24" s="25">
        <v>0</v>
      </c>
      <c r="L24" s="25">
        <v>0</v>
      </c>
      <c r="M24" s="25">
        <v>0</v>
      </c>
      <c r="N24" s="25">
        <v>0</v>
      </c>
      <c r="O24" s="25">
        <f t="shared" si="1"/>
        <v>3.5</v>
      </c>
      <c r="P24" s="25">
        <v>0</v>
      </c>
      <c r="Q24" s="25">
        <v>0</v>
      </c>
      <c r="R24" s="25">
        <v>0</v>
      </c>
      <c r="S24" s="25">
        <v>0</v>
      </c>
      <c r="T24" s="25">
        <v>0</v>
      </c>
      <c r="U24" s="25">
        <v>0</v>
      </c>
      <c r="V24" s="25">
        <v>0</v>
      </c>
      <c r="W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0</v>
      </c>
      <c r="AE24" s="27">
        <f t="shared" si="2"/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</row>
    <row r="25" spans="1:47" s="26" customFormat="1" ht="12.75" x14ac:dyDescent="0.2">
      <c r="A25" s="25" t="str">
        <f t="shared" si="3"/>
        <v>SUM</v>
      </c>
      <c r="B25" s="25" t="str">
        <f t="shared" si="3"/>
        <v>Sovan</v>
      </c>
      <c r="C25" s="25">
        <v>0</v>
      </c>
      <c r="D25" s="25">
        <v>0.5</v>
      </c>
      <c r="E25" s="25">
        <v>0</v>
      </c>
      <c r="F25" s="25">
        <v>1</v>
      </c>
      <c r="G25" s="25">
        <v>0</v>
      </c>
      <c r="H25" s="25">
        <v>0</v>
      </c>
      <c r="I25" s="25">
        <v>0</v>
      </c>
      <c r="J25" s="25">
        <v>1</v>
      </c>
      <c r="K25" s="25">
        <v>0</v>
      </c>
      <c r="L25" s="25">
        <v>0</v>
      </c>
      <c r="M25" s="25">
        <v>0</v>
      </c>
      <c r="N25" s="25">
        <v>0</v>
      </c>
      <c r="O25" s="25">
        <f t="shared" si="1"/>
        <v>2.5</v>
      </c>
      <c r="P25" s="25">
        <v>0</v>
      </c>
      <c r="Q25" s="25">
        <v>0</v>
      </c>
      <c r="R25" s="25">
        <v>0</v>
      </c>
      <c r="S25" s="25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7">
        <f t="shared" si="2"/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</row>
    <row r="26" spans="1:47" s="26" customFormat="1" ht="12.75" x14ac:dyDescent="0.2">
      <c r="A26" s="25" t="str">
        <f t="shared" si="3"/>
        <v>VINCENT</v>
      </c>
      <c r="B26" s="25" t="str">
        <f t="shared" si="3"/>
        <v>Romain</v>
      </c>
      <c r="C26" s="25">
        <v>2</v>
      </c>
      <c r="D26" s="25">
        <v>0.5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2</v>
      </c>
      <c r="K26" s="25">
        <v>0</v>
      </c>
      <c r="L26" s="25">
        <v>0</v>
      </c>
      <c r="M26" s="25">
        <v>1</v>
      </c>
      <c r="N26" s="25">
        <v>0</v>
      </c>
      <c r="O26" s="25">
        <f t="shared" si="1"/>
        <v>5.5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7">
        <f t="shared" si="2"/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</row>
    <row r="27" spans="1:47" s="10" customFormat="1" ht="12.75" x14ac:dyDescent="0.2">
      <c r="A27" s="20" t="str">
        <f t="shared" si="3"/>
        <v>SENTURK</v>
      </c>
      <c r="B27" s="20" t="str">
        <f t="shared" si="3"/>
        <v>martin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f t="shared" si="1"/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9">
        <f t="shared" si="2"/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0</v>
      </c>
      <c r="AK27" s="10">
        <v>0</v>
      </c>
    </row>
    <row r="28" spans="1:47" s="10" customFormat="1" ht="12.75" x14ac:dyDescent="0.2">
      <c r="A28" s="8">
        <f>B11</f>
        <v>0</v>
      </c>
      <c r="B28" s="8">
        <f>B11</f>
        <v>0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f t="shared" si="1"/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9">
        <f t="shared" si="2"/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0</v>
      </c>
      <c r="AK28" s="10">
        <v>0</v>
      </c>
    </row>
    <row r="29" spans="1:47" s="10" customFormat="1" ht="12.75" x14ac:dyDescent="0.2">
      <c r="A29" s="8">
        <f t="shared" si="3"/>
        <v>0</v>
      </c>
      <c r="B29" s="8">
        <f t="shared" si="3"/>
        <v>0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f t="shared" si="1"/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9">
        <f t="shared" si="2"/>
        <v>0</v>
      </c>
      <c r="AF29" s="10">
        <v>0</v>
      </c>
      <c r="AG29" s="10">
        <v>0</v>
      </c>
      <c r="AH29" s="10">
        <v>0</v>
      </c>
      <c r="AI29" s="10">
        <v>0</v>
      </c>
      <c r="AJ29" s="10">
        <v>0</v>
      </c>
      <c r="AK29" s="10">
        <v>0</v>
      </c>
    </row>
    <row r="30" spans="1:47" s="10" customFormat="1" ht="12.75" x14ac:dyDescent="0.2">
      <c r="A30" s="8">
        <f t="shared" si="3"/>
        <v>0</v>
      </c>
      <c r="B30" s="8">
        <f t="shared" si="3"/>
        <v>0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f t="shared" si="1"/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9">
        <f t="shared" si="2"/>
        <v>0</v>
      </c>
      <c r="AF30" s="10">
        <v>0</v>
      </c>
      <c r="AG30" s="10">
        <v>0</v>
      </c>
      <c r="AH30" s="10">
        <v>0</v>
      </c>
      <c r="AI30" s="10">
        <v>0</v>
      </c>
      <c r="AJ30" s="10">
        <v>0</v>
      </c>
      <c r="AK30" s="10">
        <v>0</v>
      </c>
    </row>
    <row r="31" spans="1:47" s="10" customFormat="1" ht="12.75" x14ac:dyDescent="0.2">
      <c r="A31" s="8">
        <f t="shared" si="3"/>
        <v>0</v>
      </c>
      <c r="B31" s="8">
        <f t="shared" si="3"/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f t="shared" si="1"/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9">
        <f t="shared" si="2"/>
        <v>0</v>
      </c>
      <c r="AF31" s="10">
        <v>0</v>
      </c>
      <c r="AG31" s="10">
        <v>0</v>
      </c>
      <c r="AH31" s="10">
        <v>0</v>
      </c>
      <c r="AI31" s="10">
        <v>0</v>
      </c>
      <c r="AJ31" s="10">
        <v>0</v>
      </c>
      <c r="AK31" s="10">
        <v>0</v>
      </c>
    </row>
    <row r="32" spans="1:47" s="10" customFormat="1" ht="12.75" x14ac:dyDescent="0.2">
      <c r="A32" s="8">
        <f t="shared" si="3"/>
        <v>0</v>
      </c>
      <c r="B32" s="8">
        <f t="shared" si="3"/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f t="shared" si="1"/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9">
        <f t="shared" si="2"/>
        <v>0</v>
      </c>
      <c r="AF32" s="10">
        <v>0</v>
      </c>
      <c r="AG32" s="10">
        <v>0</v>
      </c>
      <c r="AH32" s="10">
        <v>0</v>
      </c>
      <c r="AI32" s="10">
        <v>0</v>
      </c>
      <c r="AJ32" s="10">
        <v>0</v>
      </c>
      <c r="AK32" s="10">
        <v>0</v>
      </c>
    </row>
    <row r="33" spans="1:31" ht="12.75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3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6"/>
    </row>
    <row r="35" spans="1:31" ht="12.75" x14ac:dyDescent="0.2">
      <c r="C35" s="1" t="s">
        <v>25</v>
      </c>
      <c r="F35" s="1" t="s">
        <v>0</v>
      </c>
    </row>
    <row r="36" spans="1:31" ht="12.75" x14ac:dyDescent="0.2">
      <c r="A36" s="1" t="s">
        <v>50</v>
      </c>
      <c r="C36" s="1" t="s">
        <v>51</v>
      </c>
      <c r="D36" s="1" t="s">
        <v>52</v>
      </c>
      <c r="E36" s="11" t="s">
        <v>123</v>
      </c>
      <c r="F36" s="1" t="s">
        <v>53</v>
      </c>
      <c r="G36" s="1" t="s">
        <v>54</v>
      </c>
      <c r="H36" s="1" t="s">
        <v>55</v>
      </c>
      <c r="I36" s="1" t="s">
        <v>56</v>
      </c>
      <c r="J36" s="1" t="s">
        <v>20</v>
      </c>
    </row>
    <row r="37" spans="1:31" s="10" customFormat="1" ht="12.75" x14ac:dyDescent="0.2">
      <c r="A37" s="8" t="str">
        <f>A4</f>
        <v>YASSINE</v>
      </c>
      <c r="B37" s="8" t="str">
        <f>B4</f>
        <v>Abdesselam</v>
      </c>
      <c r="C37" s="9">
        <f>O21</f>
        <v>4.5</v>
      </c>
      <c r="D37" s="9">
        <f>AE21</f>
        <v>0</v>
      </c>
      <c r="E37" s="9">
        <f>AK21</f>
        <v>0</v>
      </c>
      <c r="F37" s="9">
        <f>SUM(C4:H4)</f>
        <v>4</v>
      </c>
      <c r="G37" s="9">
        <f>SUM(I4:V4)</f>
        <v>3.5</v>
      </c>
      <c r="H37" s="9">
        <f>SUM(W4:AL4)</f>
        <v>1</v>
      </c>
      <c r="I37" s="9">
        <f>SUM(AM4:AT4)</f>
        <v>0</v>
      </c>
      <c r="J37" s="9">
        <f>SUM(C37:I37)</f>
        <v>13</v>
      </c>
    </row>
    <row r="38" spans="1:31" s="10" customFormat="1" ht="12.75" x14ac:dyDescent="0.2">
      <c r="A38" s="8" t="str">
        <f t="shared" ref="A38:B48" si="4">A5</f>
        <v>MIRZA</v>
      </c>
      <c r="B38" s="8" t="str">
        <f t="shared" si="4"/>
        <v>Hassan</v>
      </c>
      <c r="C38" s="9">
        <f t="shared" ref="C38:C43" si="5">O22</f>
        <v>6</v>
      </c>
      <c r="D38" s="9">
        <f t="shared" ref="D38:D43" si="6">AE22</f>
        <v>3</v>
      </c>
      <c r="E38" s="9">
        <f t="shared" ref="E38:E43" si="7">AK22</f>
        <v>0</v>
      </c>
      <c r="F38" s="9">
        <f t="shared" ref="F38:F48" si="8">SUM(C5:H5)</f>
        <v>3</v>
      </c>
      <c r="G38" s="9">
        <f t="shared" ref="G38:G48" si="9">SUM(I5:V5)</f>
        <v>11</v>
      </c>
      <c r="H38" s="9">
        <f t="shared" ref="H38:H42" si="10">SUM(W5:AL5)</f>
        <v>3</v>
      </c>
      <c r="I38" s="9">
        <f t="shared" ref="I38:I48" si="11">SUM(AM5:AT5)</f>
        <v>6</v>
      </c>
      <c r="J38" s="9">
        <f t="shared" ref="J38:J48" si="12">SUM(C38:I38)</f>
        <v>32</v>
      </c>
    </row>
    <row r="39" spans="1:31" s="10" customFormat="1" ht="12.75" x14ac:dyDescent="0.2">
      <c r="A39" s="8" t="str">
        <f t="shared" si="4"/>
        <v>HALBART</v>
      </c>
      <c r="B39" s="8" t="str">
        <f t="shared" si="4"/>
        <v>Arthur</v>
      </c>
      <c r="C39" s="9">
        <f t="shared" si="5"/>
        <v>9</v>
      </c>
      <c r="D39" s="9">
        <f t="shared" si="6"/>
        <v>0</v>
      </c>
      <c r="E39" s="9">
        <f t="shared" si="7"/>
        <v>0</v>
      </c>
      <c r="F39" s="9">
        <f t="shared" si="8"/>
        <v>4</v>
      </c>
      <c r="G39" s="9">
        <f t="shared" si="9"/>
        <v>6</v>
      </c>
      <c r="H39" s="9">
        <f t="shared" si="10"/>
        <v>1</v>
      </c>
      <c r="I39" s="9">
        <f t="shared" si="11"/>
        <v>0</v>
      </c>
      <c r="J39" s="9">
        <f t="shared" si="12"/>
        <v>20</v>
      </c>
    </row>
    <row r="40" spans="1:31" s="10" customFormat="1" ht="12.75" x14ac:dyDescent="0.2">
      <c r="A40" s="8" t="str">
        <f t="shared" si="4"/>
        <v>MIKOLAJCZYK</v>
      </c>
      <c r="B40" s="8" t="str">
        <f t="shared" si="4"/>
        <v>Wiktor</v>
      </c>
      <c r="C40" s="9">
        <f t="shared" si="5"/>
        <v>3.5</v>
      </c>
      <c r="D40" s="9">
        <f t="shared" si="6"/>
        <v>0</v>
      </c>
      <c r="E40" s="9">
        <f t="shared" si="7"/>
        <v>0</v>
      </c>
      <c r="F40" s="9">
        <f t="shared" si="8"/>
        <v>4</v>
      </c>
      <c r="G40" s="9">
        <f t="shared" si="9"/>
        <v>5</v>
      </c>
      <c r="H40" s="9">
        <f t="shared" si="10"/>
        <v>1</v>
      </c>
      <c r="I40" s="9">
        <f t="shared" si="11"/>
        <v>0</v>
      </c>
      <c r="J40" s="9">
        <f t="shared" si="12"/>
        <v>13.5</v>
      </c>
    </row>
    <row r="41" spans="1:31" s="10" customFormat="1" ht="12.75" x14ac:dyDescent="0.2">
      <c r="A41" s="8" t="str">
        <f t="shared" si="4"/>
        <v>SUM</v>
      </c>
      <c r="B41" s="8" t="str">
        <f t="shared" si="4"/>
        <v>Sovan</v>
      </c>
      <c r="C41" s="9">
        <f t="shared" si="5"/>
        <v>2.5</v>
      </c>
      <c r="D41" s="9">
        <f t="shared" si="6"/>
        <v>0</v>
      </c>
      <c r="E41" s="9">
        <f t="shared" si="7"/>
        <v>0</v>
      </c>
      <c r="F41" s="9">
        <f t="shared" si="8"/>
        <v>4</v>
      </c>
      <c r="G41" s="9">
        <f t="shared" si="9"/>
        <v>6.5</v>
      </c>
      <c r="H41" s="9">
        <f t="shared" si="10"/>
        <v>2</v>
      </c>
      <c r="I41" s="9">
        <f t="shared" si="11"/>
        <v>0</v>
      </c>
      <c r="J41" s="9">
        <f t="shared" si="12"/>
        <v>15</v>
      </c>
    </row>
    <row r="42" spans="1:31" s="10" customFormat="1" ht="12.75" x14ac:dyDescent="0.2">
      <c r="A42" s="8" t="str">
        <f t="shared" si="4"/>
        <v>VINCENT</v>
      </c>
      <c r="B42" s="8" t="str">
        <f t="shared" si="4"/>
        <v>Romain</v>
      </c>
      <c r="C42" s="9">
        <f t="shared" si="5"/>
        <v>5.5</v>
      </c>
      <c r="D42" s="9">
        <f t="shared" si="6"/>
        <v>0</v>
      </c>
      <c r="E42" s="9">
        <f t="shared" si="7"/>
        <v>0</v>
      </c>
      <c r="F42" s="9">
        <f t="shared" si="8"/>
        <v>3</v>
      </c>
      <c r="G42" s="9">
        <f t="shared" si="9"/>
        <v>5</v>
      </c>
      <c r="H42" s="9">
        <f t="shared" si="10"/>
        <v>1</v>
      </c>
      <c r="I42" s="9">
        <f t="shared" si="11"/>
        <v>0</v>
      </c>
      <c r="J42" s="9">
        <f t="shared" si="12"/>
        <v>14.5</v>
      </c>
    </row>
    <row r="43" spans="1:31" s="10" customFormat="1" ht="12.75" x14ac:dyDescent="0.2">
      <c r="A43" s="8" t="str">
        <f t="shared" si="4"/>
        <v>SENTURK</v>
      </c>
      <c r="B43" s="8" t="str">
        <f t="shared" si="4"/>
        <v>martin</v>
      </c>
      <c r="C43" s="9">
        <f t="shared" si="5"/>
        <v>0</v>
      </c>
      <c r="D43" s="9">
        <f t="shared" si="6"/>
        <v>0</v>
      </c>
      <c r="E43" s="9">
        <f t="shared" si="7"/>
        <v>0</v>
      </c>
      <c r="F43" s="9">
        <f t="shared" si="8"/>
        <v>0</v>
      </c>
      <c r="G43" s="9">
        <f t="shared" si="9"/>
        <v>0</v>
      </c>
      <c r="H43" s="9" t="s">
        <v>55</v>
      </c>
      <c r="I43" s="9">
        <f t="shared" si="11"/>
        <v>0</v>
      </c>
      <c r="J43" s="9">
        <f t="shared" si="12"/>
        <v>0</v>
      </c>
    </row>
    <row r="44" spans="1:31" s="10" customFormat="1" ht="12.75" x14ac:dyDescent="0.2">
      <c r="A44" s="8">
        <f>B11</f>
        <v>0</v>
      </c>
      <c r="B44" s="8">
        <f>B11</f>
        <v>0</v>
      </c>
      <c r="C44" s="9">
        <f t="shared" ref="C44:C48" si="13">O28</f>
        <v>0</v>
      </c>
      <c r="D44" s="9">
        <f t="shared" ref="D44:D48" si="14">AE28</f>
        <v>0</v>
      </c>
      <c r="E44" s="9">
        <f t="shared" ref="E44:E48" si="15">AK28</f>
        <v>0</v>
      </c>
      <c r="F44" s="9">
        <f t="shared" si="8"/>
        <v>0</v>
      </c>
      <c r="G44" s="9">
        <f t="shared" si="9"/>
        <v>0</v>
      </c>
      <c r="H44" s="9">
        <f t="shared" ref="H44:H48" si="16">SUM(U11:AJ11)</f>
        <v>0</v>
      </c>
      <c r="I44" s="9">
        <f t="shared" si="11"/>
        <v>0</v>
      </c>
      <c r="J44" s="9">
        <f t="shared" si="12"/>
        <v>0</v>
      </c>
    </row>
    <row r="45" spans="1:31" s="10" customFormat="1" ht="12.75" x14ac:dyDescent="0.2">
      <c r="A45" s="8">
        <f t="shared" si="4"/>
        <v>0</v>
      </c>
      <c r="B45" s="8">
        <f t="shared" si="4"/>
        <v>0</v>
      </c>
      <c r="C45" s="9">
        <f t="shared" si="13"/>
        <v>0</v>
      </c>
      <c r="D45" s="9">
        <f t="shared" si="14"/>
        <v>0</v>
      </c>
      <c r="E45" s="9">
        <f t="shared" si="15"/>
        <v>0</v>
      </c>
      <c r="F45" s="9">
        <f t="shared" si="8"/>
        <v>0</v>
      </c>
      <c r="G45" s="9">
        <f t="shared" si="9"/>
        <v>0</v>
      </c>
      <c r="H45" s="9">
        <f t="shared" si="16"/>
        <v>0</v>
      </c>
      <c r="I45" s="9">
        <f t="shared" si="11"/>
        <v>0</v>
      </c>
      <c r="J45" s="9">
        <f t="shared" si="12"/>
        <v>0</v>
      </c>
    </row>
    <row r="46" spans="1:31" s="10" customFormat="1" ht="15.75" customHeight="1" x14ac:dyDescent="0.2">
      <c r="A46" s="8">
        <f t="shared" si="4"/>
        <v>0</v>
      </c>
      <c r="B46" s="8">
        <f t="shared" si="4"/>
        <v>0</v>
      </c>
      <c r="C46" s="9">
        <f t="shared" si="13"/>
        <v>0</v>
      </c>
      <c r="D46" s="9">
        <f t="shared" si="14"/>
        <v>0</v>
      </c>
      <c r="E46" s="9">
        <f t="shared" si="15"/>
        <v>0</v>
      </c>
      <c r="F46" s="9">
        <f t="shared" si="8"/>
        <v>0</v>
      </c>
      <c r="G46" s="9">
        <f t="shared" si="9"/>
        <v>0</v>
      </c>
      <c r="H46" s="9">
        <f t="shared" si="16"/>
        <v>0</v>
      </c>
      <c r="I46" s="9">
        <f t="shared" si="11"/>
        <v>0</v>
      </c>
      <c r="J46" s="9">
        <f t="shared" si="12"/>
        <v>0</v>
      </c>
    </row>
    <row r="47" spans="1:31" s="10" customFormat="1" ht="15.75" customHeight="1" x14ac:dyDescent="0.2">
      <c r="A47" s="8">
        <f t="shared" si="4"/>
        <v>0</v>
      </c>
      <c r="B47" s="8">
        <f t="shared" si="4"/>
        <v>0</v>
      </c>
      <c r="C47" s="9">
        <f t="shared" si="13"/>
        <v>0</v>
      </c>
      <c r="D47" s="9">
        <f t="shared" si="14"/>
        <v>0</v>
      </c>
      <c r="E47" s="9">
        <f t="shared" si="15"/>
        <v>0</v>
      </c>
      <c r="F47" s="9">
        <f t="shared" si="8"/>
        <v>0</v>
      </c>
      <c r="G47" s="9">
        <f t="shared" si="9"/>
        <v>0</v>
      </c>
      <c r="H47" s="9">
        <f t="shared" si="16"/>
        <v>0</v>
      </c>
      <c r="I47" s="9">
        <f t="shared" si="11"/>
        <v>0</v>
      </c>
      <c r="J47" s="9">
        <f t="shared" si="12"/>
        <v>0</v>
      </c>
    </row>
    <row r="48" spans="1:31" s="10" customFormat="1" ht="15.75" customHeight="1" x14ac:dyDescent="0.2">
      <c r="A48" s="8">
        <f t="shared" si="4"/>
        <v>0</v>
      </c>
      <c r="B48" s="8">
        <f t="shared" si="4"/>
        <v>0</v>
      </c>
      <c r="C48" s="9">
        <f t="shared" si="13"/>
        <v>0</v>
      </c>
      <c r="D48" s="9">
        <f t="shared" si="14"/>
        <v>0</v>
      </c>
      <c r="E48" s="9">
        <f t="shared" si="15"/>
        <v>0</v>
      </c>
      <c r="F48" s="9">
        <f t="shared" si="8"/>
        <v>0</v>
      </c>
      <c r="G48" s="9">
        <f t="shared" si="9"/>
        <v>0</v>
      </c>
      <c r="H48" s="9">
        <f t="shared" si="16"/>
        <v>0</v>
      </c>
      <c r="I48" s="9">
        <f t="shared" si="11"/>
        <v>0</v>
      </c>
      <c r="J48" s="9">
        <f t="shared" si="12"/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N45"/>
  <sheetViews>
    <sheetView workbookViewId="0">
      <selection activeCell="O14" sqref="O14"/>
    </sheetView>
  </sheetViews>
  <sheetFormatPr baseColWidth="10" defaultRowHeight="12.75" x14ac:dyDescent="0.2"/>
  <cols>
    <col min="1" max="1" width="17.42578125" customWidth="1"/>
    <col min="2" max="2" width="15.28515625" customWidth="1"/>
  </cols>
  <sheetData>
    <row r="1" spans="1:14" x14ac:dyDescent="0.2">
      <c r="A1" t="s">
        <v>74</v>
      </c>
      <c r="G1" s="14" t="s">
        <v>169</v>
      </c>
      <c r="K1" s="14"/>
    </row>
    <row r="4" spans="1:14" x14ac:dyDescent="0.2">
      <c r="A4" t="s">
        <v>71</v>
      </c>
    </row>
    <row r="5" spans="1:14" x14ac:dyDescent="0.2">
      <c r="A5" s="8" t="str">
        <f>Liège!A37</f>
        <v>JACQUET</v>
      </c>
      <c r="B5" s="8" t="str">
        <f>Liège!B37</f>
        <v>Dylan</v>
      </c>
      <c r="C5">
        <f>Liège!J37</f>
        <v>36.5</v>
      </c>
      <c r="G5" s="10" t="str">
        <f t="shared" ref="G5:G16" si="0">A5</f>
        <v>JACQUET</v>
      </c>
      <c r="H5" s="10" t="str">
        <f t="shared" ref="H5:H16" si="1">B5</f>
        <v>Dylan</v>
      </c>
      <c r="I5" s="10">
        <f t="shared" ref="I5:I16" si="2">C5</f>
        <v>36.5</v>
      </c>
      <c r="J5">
        <v>0</v>
      </c>
      <c r="K5" s="4" t="s">
        <v>136</v>
      </c>
      <c r="L5" s="4" t="s">
        <v>63</v>
      </c>
      <c r="M5" s="4">
        <v>57</v>
      </c>
      <c r="N5" t="s">
        <v>72</v>
      </c>
    </row>
    <row r="6" spans="1:14" x14ac:dyDescent="0.2">
      <c r="A6" s="8" t="str">
        <f>Liège!A38</f>
        <v>VAN MEERBERGEN</v>
      </c>
      <c r="B6" s="8" t="str">
        <f>Liège!B38</f>
        <v>Renaud</v>
      </c>
      <c r="C6">
        <f>Liège!J38</f>
        <v>33.5</v>
      </c>
      <c r="G6" s="10" t="str">
        <f t="shared" si="0"/>
        <v>VAN MEERBERGEN</v>
      </c>
      <c r="H6" s="10" t="str">
        <f t="shared" si="1"/>
        <v>Renaud</v>
      </c>
      <c r="I6" s="10">
        <f t="shared" si="2"/>
        <v>33.5</v>
      </c>
      <c r="J6">
        <v>1</v>
      </c>
      <c r="K6" s="31" t="s">
        <v>132</v>
      </c>
      <c r="L6" s="31" t="s">
        <v>133</v>
      </c>
      <c r="M6" s="31">
        <v>39</v>
      </c>
      <c r="N6" t="s">
        <v>174</v>
      </c>
    </row>
    <row r="7" spans="1:14" x14ac:dyDescent="0.2">
      <c r="A7" s="8" t="str">
        <f>Liège!A39</f>
        <v>CADRANEL</v>
      </c>
      <c r="B7" s="8" t="str">
        <f>Liège!B39</f>
        <v>Kael</v>
      </c>
      <c r="C7">
        <f>Liège!J39</f>
        <v>28.5</v>
      </c>
      <c r="G7" s="10" t="str">
        <f t="shared" si="0"/>
        <v>CADRANEL</v>
      </c>
      <c r="H7" s="10" t="str">
        <f t="shared" si="1"/>
        <v>Kael</v>
      </c>
      <c r="I7" s="10">
        <f t="shared" si="2"/>
        <v>28.5</v>
      </c>
      <c r="J7">
        <v>2</v>
      </c>
      <c r="K7" s="32" t="s">
        <v>128</v>
      </c>
      <c r="L7" s="32" t="s">
        <v>62</v>
      </c>
      <c r="M7" s="32">
        <v>38.5</v>
      </c>
      <c r="N7" t="s">
        <v>72</v>
      </c>
    </row>
    <row r="8" spans="1:14" x14ac:dyDescent="0.2">
      <c r="A8" s="8" t="str">
        <f>Liège!A40</f>
        <v>COLLEYE</v>
      </c>
      <c r="B8" s="8" t="str">
        <f>Liège!B40</f>
        <v>Emilie</v>
      </c>
      <c r="C8">
        <f>Liège!J40</f>
        <v>22.5</v>
      </c>
      <c r="G8" s="10" t="str">
        <f t="shared" si="0"/>
        <v>COLLEYE</v>
      </c>
      <c r="H8" s="10" t="str">
        <f t="shared" si="1"/>
        <v>Emilie</v>
      </c>
      <c r="I8" s="10">
        <f t="shared" si="2"/>
        <v>22.5</v>
      </c>
      <c r="J8">
        <v>3</v>
      </c>
      <c r="K8" s="15" t="s">
        <v>160</v>
      </c>
      <c r="L8" s="15" t="s">
        <v>64</v>
      </c>
      <c r="M8" s="15">
        <v>36.5</v>
      </c>
      <c r="N8" t="s">
        <v>71</v>
      </c>
    </row>
    <row r="9" spans="1:14" x14ac:dyDescent="0.2">
      <c r="A9" s="8" t="str">
        <f>Liège!A41</f>
        <v>LEPAGE</v>
      </c>
      <c r="B9" s="8" t="str">
        <f>Liège!B41</f>
        <v>Hugo</v>
      </c>
      <c r="C9">
        <f>Liège!J41</f>
        <v>14</v>
      </c>
      <c r="G9" s="10" t="str">
        <f t="shared" si="0"/>
        <v>LEPAGE</v>
      </c>
      <c r="H9" s="10" t="str">
        <f t="shared" si="1"/>
        <v>Hugo</v>
      </c>
      <c r="I9" s="10">
        <f t="shared" si="2"/>
        <v>14</v>
      </c>
      <c r="J9">
        <v>4</v>
      </c>
      <c r="K9" s="15" t="s">
        <v>124</v>
      </c>
      <c r="L9" s="15" t="s">
        <v>125</v>
      </c>
      <c r="M9" s="15">
        <v>33.5</v>
      </c>
      <c r="N9" t="s">
        <v>71</v>
      </c>
    </row>
    <row r="10" spans="1:14" x14ac:dyDescent="0.2">
      <c r="A10" s="8" t="str">
        <f>Liège!A42</f>
        <v>SENGA-VITA</v>
      </c>
      <c r="B10" s="8" t="str">
        <f>Liège!B42</f>
        <v>Blanchar</v>
      </c>
      <c r="C10">
        <f>Liège!J42</f>
        <v>26.5</v>
      </c>
      <c r="G10" s="10" t="str">
        <f t="shared" si="0"/>
        <v>SENGA-VITA</v>
      </c>
      <c r="H10" s="10" t="str">
        <f t="shared" si="1"/>
        <v>Blanchar</v>
      </c>
      <c r="I10" s="10">
        <f t="shared" si="2"/>
        <v>26.5</v>
      </c>
      <c r="J10">
        <v>5</v>
      </c>
      <c r="K10" s="15" t="s">
        <v>139</v>
      </c>
      <c r="L10" s="15" t="s">
        <v>31</v>
      </c>
      <c r="M10" s="15">
        <v>32</v>
      </c>
      <c r="N10" t="s">
        <v>73</v>
      </c>
    </row>
    <row r="11" spans="1:14" x14ac:dyDescent="0.2">
      <c r="A11" s="8" t="str">
        <f>Liège!A43</f>
        <v>VINCENT</v>
      </c>
      <c r="B11" s="8" t="str">
        <f>Liège!B43</f>
        <v>Justin</v>
      </c>
      <c r="C11">
        <f>Liège!J43</f>
        <v>19</v>
      </c>
      <c r="G11" s="10" t="str">
        <f t="shared" si="0"/>
        <v>VINCENT</v>
      </c>
      <c r="H11" s="10" t="str">
        <f t="shared" si="1"/>
        <v>Justin</v>
      </c>
      <c r="I11" s="10">
        <f t="shared" si="2"/>
        <v>19</v>
      </c>
      <c r="J11">
        <v>6</v>
      </c>
      <c r="K11" s="15" t="s">
        <v>140</v>
      </c>
      <c r="L11" s="15" t="s">
        <v>141</v>
      </c>
      <c r="M11" s="15">
        <v>28.5</v>
      </c>
      <c r="N11" t="s">
        <v>71</v>
      </c>
    </row>
    <row r="12" spans="1:14" x14ac:dyDescent="0.2">
      <c r="A12" s="8" t="str">
        <f>Liège!A44</f>
        <v>WILLEMS</v>
      </c>
      <c r="B12" s="8" t="str">
        <f>Liège!B44</f>
        <v>Edouard</v>
      </c>
      <c r="C12">
        <f>Liège!J44</f>
        <v>18.5</v>
      </c>
      <c r="G12" s="10" t="str">
        <f t="shared" si="0"/>
        <v>WILLEMS</v>
      </c>
      <c r="H12" s="10" t="str">
        <f t="shared" si="1"/>
        <v>Edouard</v>
      </c>
      <c r="I12" s="10">
        <f t="shared" si="2"/>
        <v>18.5</v>
      </c>
      <c r="J12">
        <v>7</v>
      </c>
      <c r="K12" s="15" t="s">
        <v>144</v>
      </c>
      <c r="L12" s="15" t="s">
        <v>65</v>
      </c>
      <c r="M12" s="15">
        <v>26.5</v>
      </c>
      <c r="N12" t="s">
        <v>71</v>
      </c>
    </row>
    <row r="13" spans="1:14" x14ac:dyDescent="0.2">
      <c r="A13" s="20" t="str">
        <f>Liège!A45</f>
        <v>MEUNIER</v>
      </c>
      <c r="B13" s="20" t="str">
        <f>Liège!B45</f>
        <v>Sacha</v>
      </c>
      <c r="C13">
        <f>Liège!J45</f>
        <v>0</v>
      </c>
      <c r="G13" s="21" t="str">
        <f t="shared" si="0"/>
        <v>MEUNIER</v>
      </c>
      <c r="H13" s="21" t="str">
        <f t="shared" si="1"/>
        <v>Sacha</v>
      </c>
      <c r="I13" s="10">
        <f t="shared" si="2"/>
        <v>0</v>
      </c>
      <c r="J13">
        <v>8</v>
      </c>
      <c r="K13" s="15" t="s">
        <v>68</v>
      </c>
      <c r="L13" s="15" t="s">
        <v>69</v>
      </c>
      <c r="M13" s="15">
        <v>22.5</v>
      </c>
      <c r="N13" t="s">
        <v>71</v>
      </c>
    </row>
    <row r="14" spans="1:14" x14ac:dyDescent="0.2">
      <c r="A14" s="8" t="str">
        <f>Liège!A46</f>
        <v>FORTIN</v>
      </c>
      <c r="B14" s="8" t="str">
        <f>Liège!B46</f>
        <v>Nathan</v>
      </c>
      <c r="C14">
        <f>Liège!J46</f>
        <v>10</v>
      </c>
      <c r="G14" s="10" t="str">
        <f t="shared" si="0"/>
        <v>FORTIN</v>
      </c>
      <c r="H14" s="10" t="str">
        <f t="shared" si="1"/>
        <v>Nathan</v>
      </c>
      <c r="I14" s="10">
        <f t="shared" si="2"/>
        <v>10</v>
      </c>
      <c r="J14">
        <v>9</v>
      </c>
      <c r="K14" t="s">
        <v>147</v>
      </c>
      <c r="L14" t="s">
        <v>148</v>
      </c>
      <c r="M14">
        <v>20</v>
      </c>
      <c r="N14" t="s">
        <v>73</v>
      </c>
    </row>
    <row r="15" spans="1:14" x14ac:dyDescent="0.2">
      <c r="A15" s="8" t="str">
        <f>Liège!A47</f>
        <v>MAREE</v>
      </c>
      <c r="B15" s="8" t="str">
        <f>Liège!B47</f>
        <v>Bruno</v>
      </c>
      <c r="C15">
        <f>Liège!J47</f>
        <v>9</v>
      </c>
      <c r="G15" s="10" t="str">
        <f t="shared" si="0"/>
        <v>MAREE</v>
      </c>
      <c r="H15" s="10" t="str">
        <f t="shared" si="1"/>
        <v>Bruno</v>
      </c>
      <c r="I15" s="10">
        <f t="shared" si="2"/>
        <v>9</v>
      </c>
      <c r="J15">
        <v>10</v>
      </c>
      <c r="K15" s="15" t="s">
        <v>145</v>
      </c>
      <c r="L15" s="15" t="s">
        <v>67</v>
      </c>
      <c r="M15" s="15">
        <v>19</v>
      </c>
      <c r="N15" t="s">
        <v>71</v>
      </c>
    </row>
    <row r="16" spans="1:14" x14ac:dyDescent="0.2">
      <c r="A16" s="20" t="str">
        <f>Liège!A48</f>
        <v>NGANDU</v>
      </c>
      <c r="B16" s="20" t="str">
        <f>Liège!B48</f>
        <v>Raphaël</v>
      </c>
      <c r="C16">
        <f>Liège!J48</f>
        <v>0</v>
      </c>
      <c r="G16" s="21" t="str">
        <f t="shared" si="0"/>
        <v>NGANDU</v>
      </c>
      <c r="H16" s="21" t="str">
        <f t="shared" si="1"/>
        <v>Raphaël</v>
      </c>
      <c r="I16" s="10">
        <f t="shared" si="2"/>
        <v>0</v>
      </c>
      <c r="J16">
        <v>11</v>
      </c>
      <c r="K16" t="s">
        <v>146</v>
      </c>
      <c r="L16" t="s">
        <v>66</v>
      </c>
      <c r="M16">
        <v>18.5</v>
      </c>
      <c r="N16" t="s">
        <v>71</v>
      </c>
    </row>
    <row r="17" spans="1:14" x14ac:dyDescent="0.2">
      <c r="G17" s="21" t="str">
        <f t="shared" ref="G17:G25" si="3">A20</f>
        <v>COPPÉE</v>
      </c>
      <c r="H17" s="21" t="str">
        <f t="shared" ref="H17:H25" si="4">B20</f>
        <v>Aurelien</v>
      </c>
      <c r="I17" s="10">
        <f t="shared" ref="I17:I25" si="5">C20</f>
        <v>0</v>
      </c>
      <c r="J17">
        <v>12</v>
      </c>
      <c r="K17" t="s">
        <v>151</v>
      </c>
      <c r="L17" t="s">
        <v>152</v>
      </c>
      <c r="M17">
        <v>15</v>
      </c>
      <c r="N17" t="s">
        <v>175</v>
      </c>
    </row>
    <row r="18" spans="1:14" x14ac:dyDescent="0.2">
      <c r="G18" s="10" t="str">
        <f t="shared" si="3"/>
        <v>PATUREAU</v>
      </c>
      <c r="H18" s="10" t="str">
        <f t="shared" si="4"/>
        <v>Bastien</v>
      </c>
      <c r="I18" s="10">
        <f t="shared" si="5"/>
        <v>38.5</v>
      </c>
      <c r="J18">
        <v>13</v>
      </c>
      <c r="K18" t="s">
        <v>129</v>
      </c>
      <c r="L18" t="s">
        <v>130</v>
      </c>
      <c r="M18">
        <v>14.5</v>
      </c>
      <c r="N18" t="s">
        <v>174</v>
      </c>
    </row>
    <row r="19" spans="1:14" x14ac:dyDescent="0.2">
      <c r="A19" s="8" t="s">
        <v>72</v>
      </c>
      <c r="G19" s="10" t="str">
        <f t="shared" si="3"/>
        <v>DEMARET</v>
      </c>
      <c r="H19" s="10" t="str">
        <f t="shared" si="4"/>
        <v>Antoine</v>
      </c>
      <c r="I19" s="10">
        <f t="shared" si="5"/>
        <v>14.5</v>
      </c>
      <c r="J19">
        <v>14</v>
      </c>
      <c r="K19" t="s">
        <v>145</v>
      </c>
      <c r="L19" t="s">
        <v>153</v>
      </c>
      <c r="M19">
        <v>14.5</v>
      </c>
      <c r="N19" t="s">
        <v>73</v>
      </c>
    </row>
    <row r="20" spans="1:14" x14ac:dyDescent="0.2">
      <c r="A20" s="23" t="str">
        <f>Cepegra!A37</f>
        <v>COPPÉE</v>
      </c>
      <c r="B20" s="23" t="str">
        <f>Cepegra!B37</f>
        <v>Aurelien</v>
      </c>
      <c r="C20">
        <f>Cepegra!J37</f>
        <v>0</v>
      </c>
      <c r="G20" s="10" t="str">
        <f t="shared" si="3"/>
        <v>DUBOIS</v>
      </c>
      <c r="H20" s="10" t="str">
        <f t="shared" si="4"/>
        <v>Caroline</v>
      </c>
      <c r="I20" s="10">
        <f t="shared" si="5"/>
        <v>13.5</v>
      </c>
      <c r="J20">
        <v>15</v>
      </c>
      <c r="K20" s="15" t="s">
        <v>142</v>
      </c>
      <c r="L20" s="15" t="s">
        <v>143</v>
      </c>
      <c r="M20" s="15">
        <v>14</v>
      </c>
      <c r="N20" t="s">
        <v>71</v>
      </c>
    </row>
    <row r="21" spans="1:14" x14ac:dyDescent="0.2">
      <c r="A21" s="8" t="str">
        <f>Cepegra!A38</f>
        <v>PATUREAU</v>
      </c>
      <c r="B21" s="8" t="str">
        <f>Cepegra!B38</f>
        <v>Bastien</v>
      </c>
      <c r="C21">
        <f>Cepegra!J38</f>
        <v>38.5</v>
      </c>
      <c r="G21" s="10" t="str">
        <f t="shared" si="3"/>
        <v>NYSSENS</v>
      </c>
      <c r="H21" s="10" t="str">
        <f t="shared" si="4"/>
        <v>Élisabeth</v>
      </c>
      <c r="I21" s="10">
        <f t="shared" si="5"/>
        <v>39</v>
      </c>
      <c r="J21">
        <v>16</v>
      </c>
      <c r="K21" s="15" t="s">
        <v>131</v>
      </c>
      <c r="L21" s="15" t="s">
        <v>70</v>
      </c>
      <c r="M21" s="15">
        <v>13.5</v>
      </c>
      <c r="N21" t="s">
        <v>174</v>
      </c>
    </row>
    <row r="22" spans="1:14" x14ac:dyDescent="0.2">
      <c r="A22" s="8" t="str">
        <f>Cepegra!A39</f>
        <v>DEMARET</v>
      </c>
      <c r="B22" s="8" t="str">
        <f>Cepegra!B39</f>
        <v>Antoine</v>
      </c>
      <c r="C22">
        <f>Cepegra!J39</f>
        <v>14.5</v>
      </c>
      <c r="G22" s="10" t="str">
        <f t="shared" si="3"/>
        <v>STEVAUX</v>
      </c>
      <c r="H22" s="10" t="str">
        <f t="shared" si="4"/>
        <v>Loïc</v>
      </c>
      <c r="I22" s="10">
        <f t="shared" si="5"/>
        <v>8</v>
      </c>
      <c r="J22">
        <v>17</v>
      </c>
      <c r="K22" t="s">
        <v>149</v>
      </c>
      <c r="L22" t="s">
        <v>150</v>
      </c>
      <c r="M22">
        <v>13.5</v>
      </c>
      <c r="N22" t="s">
        <v>73</v>
      </c>
    </row>
    <row r="23" spans="1:14" x14ac:dyDescent="0.2">
      <c r="A23" s="8" t="str">
        <f>Cepegra!A40</f>
        <v>DUBOIS</v>
      </c>
      <c r="B23" s="8" t="str">
        <f>Cepegra!B40</f>
        <v>Caroline</v>
      </c>
      <c r="C23">
        <f>Cepegra!J40</f>
        <v>13.5</v>
      </c>
      <c r="G23" s="10" t="str">
        <f t="shared" si="3"/>
        <v>JACQMIN</v>
      </c>
      <c r="H23" s="10" t="str">
        <f t="shared" si="4"/>
        <v>Lua</v>
      </c>
      <c r="I23" s="10">
        <f t="shared" si="5"/>
        <v>57</v>
      </c>
      <c r="J23">
        <v>18</v>
      </c>
      <c r="K23" t="s">
        <v>137</v>
      </c>
      <c r="L23" t="s">
        <v>138</v>
      </c>
      <c r="M23">
        <v>13</v>
      </c>
      <c r="N23" t="s">
        <v>73</v>
      </c>
    </row>
    <row r="24" spans="1:14" x14ac:dyDescent="0.2">
      <c r="A24" s="8" t="str">
        <f>Cepegra!A41</f>
        <v>NYSSENS</v>
      </c>
      <c r="B24" s="8" t="str">
        <f>Cepegra!B41</f>
        <v>Élisabeth</v>
      </c>
      <c r="C24">
        <f>Cepegra!J41</f>
        <v>39</v>
      </c>
      <c r="G24" s="21" t="str">
        <f t="shared" si="3"/>
        <v>PIRLOT</v>
      </c>
      <c r="H24" s="21" t="str">
        <f t="shared" si="4"/>
        <v>Audrey</v>
      </c>
      <c r="I24" s="10">
        <f t="shared" si="5"/>
        <v>0</v>
      </c>
      <c r="J24">
        <v>19</v>
      </c>
      <c r="K24" t="s">
        <v>158</v>
      </c>
      <c r="L24" t="s">
        <v>159</v>
      </c>
      <c r="M24">
        <v>10</v>
      </c>
      <c r="N24" t="s">
        <v>71</v>
      </c>
    </row>
    <row r="25" spans="1:14" x14ac:dyDescent="0.2">
      <c r="A25" s="8" t="str">
        <f>Cepegra!A42</f>
        <v>STEVAUX</v>
      </c>
      <c r="B25" s="8" t="str">
        <f>Cepegra!B42</f>
        <v>Loïc</v>
      </c>
      <c r="C25">
        <f>Cepegra!J42</f>
        <v>8</v>
      </c>
      <c r="G25" s="21" t="str">
        <f t="shared" si="3"/>
        <v>HOUIOUX</v>
      </c>
      <c r="H25" s="21" t="str">
        <f t="shared" si="4"/>
        <v>Guillaume</v>
      </c>
      <c r="I25" s="10">
        <f t="shared" si="5"/>
        <v>0</v>
      </c>
      <c r="J25">
        <v>20</v>
      </c>
      <c r="K25" s="15" t="s">
        <v>161</v>
      </c>
      <c r="L25" s="15" t="s">
        <v>162</v>
      </c>
      <c r="M25" s="15">
        <v>9</v>
      </c>
      <c r="N25" t="s">
        <v>71</v>
      </c>
    </row>
    <row r="26" spans="1:14" x14ac:dyDescent="0.2">
      <c r="A26" s="8" t="str">
        <f>Cepegra!A43</f>
        <v>JACQMIN</v>
      </c>
      <c r="B26" s="8" t="str">
        <f>Cepegra!B43</f>
        <v>Lua</v>
      </c>
      <c r="C26">
        <f>Cepegra!J43</f>
        <v>57</v>
      </c>
      <c r="G26" s="10" t="str">
        <f t="shared" ref="G26:I32" si="6">A34</f>
        <v>YASSINE</v>
      </c>
      <c r="H26" s="10" t="str">
        <f t="shared" si="6"/>
        <v>Abdesselam</v>
      </c>
      <c r="I26" s="10">
        <f t="shared" si="6"/>
        <v>13</v>
      </c>
      <c r="J26">
        <v>21</v>
      </c>
      <c r="K26" t="s">
        <v>134</v>
      </c>
      <c r="L26" t="s">
        <v>135</v>
      </c>
      <c r="M26">
        <v>8</v>
      </c>
      <c r="N26" t="s">
        <v>174</v>
      </c>
    </row>
    <row r="27" spans="1:14" x14ac:dyDescent="0.2">
      <c r="A27" s="23" t="str">
        <f>Cepegra!A44</f>
        <v>PIRLOT</v>
      </c>
      <c r="B27" s="23" t="str">
        <f>Cepegra!B44</f>
        <v>Audrey</v>
      </c>
      <c r="C27">
        <f>Cepegra!J44</f>
        <v>0</v>
      </c>
      <c r="G27" s="10" t="str">
        <f t="shared" si="6"/>
        <v>MIRZA</v>
      </c>
      <c r="H27" s="10" t="str">
        <f t="shared" si="6"/>
        <v>Hassan</v>
      </c>
      <c r="I27" s="10">
        <f t="shared" si="6"/>
        <v>32</v>
      </c>
      <c r="K27" s="15" t="s">
        <v>156</v>
      </c>
      <c r="L27" s="15" t="s">
        <v>157</v>
      </c>
      <c r="M27" s="15">
        <v>0</v>
      </c>
    </row>
    <row r="28" spans="1:14" x14ac:dyDescent="0.2">
      <c r="A28" s="23" t="str">
        <f>Cepegra!A45</f>
        <v>HOUIOUX</v>
      </c>
      <c r="B28" s="23" t="str">
        <f>Cepegra!B45</f>
        <v>Guillaume</v>
      </c>
      <c r="C28">
        <f>Cepegra!J45</f>
        <v>0</v>
      </c>
      <c r="G28" s="10" t="str">
        <f t="shared" si="6"/>
        <v>HALBART</v>
      </c>
      <c r="H28" s="10" t="str">
        <f t="shared" si="6"/>
        <v>Arthur</v>
      </c>
      <c r="I28" s="10">
        <f t="shared" si="6"/>
        <v>20</v>
      </c>
      <c r="K28" t="s">
        <v>163</v>
      </c>
      <c r="L28" t="s">
        <v>164</v>
      </c>
      <c r="M28">
        <v>0</v>
      </c>
    </row>
    <row r="29" spans="1:14" x14ac:dyDescent="0.2">
      <c r="A29" s="8">
        <f>Cepegra!A46</f>
        <v>0</v>
      </c>
      <c r="B29" s="8">
        <f>Cepegra!B46</f>
        <v>0</v>
      </c>
      <c r="C29">
        <f>Cepegra!J46</f>
        <v>0</v>
      </c>
      <c r="G29" s="10" t="str">
        <f t="shared" si="6"/>
        <v>MIKOLAJCZYK</v>
      </c>
      <c r="H29" s="10" t="str">
        <f t="shared" si="6"/>
        <v>Wiktor</v>
      </c>
      <c r="I29" s="10">
        <f t="shared" si="6"/>
        <v>13.5</v>
      </c>
      <c r="K29" t="s">
        <v>127</v>
      </c>
      <c r="L29" t="s">
        <v>126</v>
      </c>
      <c r="M29">
        <v>0</v>
      </c>
    </row>
    <row r="30" spans="1:14" x14ac:dyDescent="0.2">
      <c r="A30" s="8">
        <f>Cepegra!A47</f>
        <v>0</v>
      </c>
      <c r="B30" s="8">
        <f>Cepegra!B47</f>
        <v>0</v>
      </c>
      <c r="C30">
        <f>Cepegra!J47</f>
        <v>0</v>
      </c>
      <c r="G30" s="10" t="str">
        <f t="shared" si="6"/>
        <v>SUM</v>
      </c>
      <c r="H30" s="10" t="str">
        <f t="shared" si="6"/>
        <v>Sovan</v>
      </c>
      <c r="I30" s="10">
        <f t="shared" si="6"/>
        <v>15</v>
      </c>
      <c r="K30" t="s">
        <v>165</v>
      </c>
      <c r="L30" t="s">
        <v>166</v>
      </c>
      <c r="M30">
        <v>0</v>
      </c>
    </row>
    <row r="31" spans="1:14" x14ac:dyDescent="0.2">
      <c r="G31" s="10" t="str">
        <f t="shared" si="6"/>
        <v>VINCENT</v>
      </c>
      <c r="H31" s="10" t="str">
        <f t="shared" si="6"/>
        <v>Romain</v>
      </c>
      <c r="I31" s="10">
        <f t="shared" si="6"/>
        <v>14.5</v>
      </c>
      <c r="K31" t="s">
        <v>167</v>
      </c>
      <c r="L31" t="s">
        <v>168</v>
      </c>
      <c r="M31">
        <v>0</v>
      </c>
    </row>
    <row r="32" spans="1:14" x14ac:dyDescent="0.2">
      <c r="G32" s="10" t="str">
        <f t="shared" si="6"/>
        <v>SENTURK</v>
      </c>
      <c r="H32" s="10" t="str">
        <f t="shared" si="6"/>
        <v>martin</v>
      </c>
      <c r="I32" s="10">
        <f t="shared" si="6"/>
        <v>0</v>
      </c>
      <c r="K32" t="s">
        <v>154</v>
      </c>
      <c r="L32" t="s">
        <v>155</v>
      </c>
      <c r="M32">
        <v>0</v>
      </c>
    </row>
    <row r="33" spans="1:3" x14ac:dyDescent="0.2">
      <c r="A33" s="8" t="s">
        <v>73</v>
      </c>
    </row>
    <row r="34" spans="1:3" x14ac:dyDescent="0.2">
      <c r="A34" s="8" t="str">
        <f>Bruxelles!A37</f>
        <v>YASSINE</v>
      </c>
      <c r="B34" s="8" t="str">
        <f>Bruxelles!B37</f>
        <v>Abdesselam</v>
      </c>
      <c r="C34">
        <f>Bruxelles!J37</f>
        <v>13</v>
      </c>
    </row>
    <row r="35" spans="1:3" x14ac:dyDescent="0.2">
      <c r="A35" s="20" t="str">
        <f>Bruxelles!A38</f>
        <v>MIRZA</v>
      </c>
      <c r="B35" s="20" t="str">
        <f>Bruxelles!B38</f>
        <v>Hassan</v>
      </c>
      <c r="C35">
        <f>Bruxelles!J38</f>
        <v>32</v>
      </c>
    </row>
    <row r="36" spans="1:3" x14ac:dyDescent="0.2">
      <c r="A36" s="8" t="str">
        <f>Bruxelles!A39</f>
        <v>HALBART</v>
      </c>
      <c r="B36" s="8" t="str">
        <f>Bruxelles!B39</f>
        <v>Arthur</v>
      </c>
      <c r="C36">
        <f>Bruxelles!J39</f>
        <v>20</v>
      </c>
    </row>
    <row r="37" spans="1:3" x14ac:dyDescent="0.2">
      <c r="A37" s="8" t="str">
        <f>Bruxelles!A40</f>
        <v>MIKOLAJCZYK</v>
      </c>
      <c r="B37" s="8" t="str">
        <f>Bruxelles!B40</f>
        <v>Wiktor</v>
      </c>
      <c r="C37">
        <f>Bruxelles!J40</f>
        <v>13.5</v>
      </c>
    </row>
    <row r="38" spans="1:3" x14ac:dyDescent="0.2">
      <c r="A38" s="8" t="str">
        <f>Bruxelles!A41</f>
        <v>SUM</v>
      </c>
      <c r="B38" s="8" t="str">
        <f>Bruxelles!B41</f>
        <v>Sovan</v>
      </c>
      <c r="C38">
        <f>Bruxelles!J41</f>
        <v>15</v>
      </c>
    </row>
    <row r="39" spans="1:3" x14ac:dyDescent="0.2">
      <c r="A39" s="8" t="str">
        <f>Bruxelles!A42</f>
        <v>VINCENT</v>
      </c>
      <c r="B39" s="8" t="str">
        <f>Bruxelles!B42</f>
        <v>Romain</v>
      </c>
      <c r="C39">
        <f>Bruxelles!J42</f>
        <v>14.5</v>
      </c>
    </row>
    <row r="40" spans="1:3" x14ac:dyDescent="0.2">
      <c r="A40" s="20" t="str">
        <f>Bruxelles!A43</f>
        <v>SENTURK</v>
      </c>
      <c r="B40" s="20" t="str">
        <f>Bruxelles!B43</f>
        <v>martin</v>
      </c>
      <c r="C40">
        <f>Bruxelles!J43</f>
        <v>0</v>
      </c>
    </row>
    <row r="41" spans="1:3" x14ac:dyDescent="0.2">
      <c r="A41" s="8">
        <f>Bruxelles!A44</f>
        <v>0</v>
      </c>
      <c r="B41" s="8">
        <f>Bruxelles!B44</f>
        <v>0</v>
      </c>
      <c r="C41">
        <f>Bruxelles!J44</f>
        <v>0</v>
      </c>
    </row>
    <row r="42" spans="1:3" x14ac:dyDescent="0.2">
      <c r="A42" s="8">
        <f>Bruxelles!A45</f>
        <v>0</v>
      </c>
      <c r="B42" s="8">
        <f>Bruxelles!B45</f>
        <v>0</v>
      </c>
      <c r="C42">
        <f>Bruxelles!J45</f>
        <v>0</v>
      </c>
    </row>
    <row r="43" spans="1:3" x14ac:dyDescent="0.2">
      <c r="A43" s="8">
        <f>Bruxelles!A46</f>
        <v>0</v>
      </c>
      <c r="B43" s="8">
        <f>Bruxelles!B46</f>
        <v>0</v>
      </c>
      <c r="C43">
        <f>Bruxelles!J46</f>
        <v>0</v>
      </c>
    </row>
    <row r="44" spans="1:3" x14ac:dyDescent="0.2">
      <c r="A44" s="8">
        <f>Bruxelles!A47</f>
        <v>0</v>
      </c>
      <c r="B44" s="8">
        <f>Bruxelles!B47</f>
        <v>0</v>
      </c>
      <c r="C44">
        <f>Bruxelles!J47</f>
        <v>0</v>
      </c>
    </row>
    <row r="45" spans="1:3" x14ac:dyDescent="0.2">
      <c r="A45" s="8">
        <f>Bruxelles!A48</f>
        <v>0</v>
      </c>
      <c r="B45" s="8">
        <f>Bruxelles!B48</f>
        <v>0</v>
      </c>
      <c r="C45">
        <f>Bruxelles!J48</f>
        <v>0</v>
      </c>
    </row>
  </sheetData>
  <sortState ref="K5:M32">
    <sortCondition descending="1" ref="M5:M3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hampions">
                <anchor moveWithCells="1" sizeWithCells="1">
                  <from>
                    <xdr:col>6</xdr:col>
                    <xdr:colOff>381000</xdr:colOff>
                    <xdr:row>35</xdr:row>
                    <xdr:rowOff>142875</xdr:rowOff>
                  </from>
                  <to>
                    <xdr:col>8</xdr:col>
                    <xdr:colOff>361950</xdr:colOff>
                    <xdr:row>38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Liège</vt:lpstr>
      <vt:lpstr>Cepegra</vt:lpstr>
      <vt:lpstr>Bruxelles</vt:lpstr>
      <vt:lpstr>Totaux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Charlier</dc:creator>
  <cp:lastModifiedBy>Pierre Charlier</cp:lastModifiedBy>
  <cp:lastPrinted>2023-03-18T07:32:28Z</cp:lastPrinted>
  <dcterms:created xsi:type="dcterms:W3CDTF">2023-03-08T09:48:36Z</dcterms:created>
  <dcterms:modified xsi:type="dcterms:W3CDTF">2023-03-24T09:21:45Z</dcterms:modified>
</cp:coreProperties>
</file>